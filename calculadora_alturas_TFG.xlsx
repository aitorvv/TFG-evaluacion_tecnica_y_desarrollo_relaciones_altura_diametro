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os" sheetId="1" state="visible" r:id="rId3"/>
    <sheet name="coefs" sheetId="2" state="hidden" r:id="rId4"/>
    <sheet name="Calculadora" sheetId="3" state="visible" r:id="rId5"/>
    <sheet name="Model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<sst xmlns="http://schemas.openxmlformats.org/spreadsheetml/2006/main" count="167" uniqueCount="111">
  <si>
    <t xml:space="preserve">Calculadora de alturas altura–diámetro (h–d)</t>
  </si>
  <si>
    <t xml:space="preserve">Basada en el TFG de Alicia Xu Díez Gómez — «Evaluación técnica y desarrollo de relaciones altura-diámetro para la estimación de volumen maderable» (UVa, jun. 2026).</t>
  </si>
  <si>
    <t xml:space="preserve">Zona de estudio: norte de Palencia y municipios colindantes de León. Válida para las 4 especies modelizadas. Fuera de esa zona/especies las predicciones no son fiables.</t>
  </si>
  <si>
    <t xml:space="preserve">VARIABLE</t>
  </si>
  <si>
    <t xml:space="preserve">TIPO</t>
  </si>
  <si>
    <t xml:space="preserve">OBLIGATORIA PARA</t>
  </si>
  <si>
    <t xml:space="preserve">EXPLICACIÓN</t>
  </si>
  <si>
    <t xml:space="preserve">ID Parcela</t>
  </si>
  <si>
    <t xml:space="preserve">texto / número</t>
  </si>
  <si>
    <t xml:space="preserve">—</t>
  </si>
  <si>
    <t xml:space="preserve">[opcional] Identificador de parcela. Usa el mismo ID para todos los árboles de una parcela.</t>
  </si>
  <si>
    <t xml:space="preserve">ID Árbol</t>
  </si>
  <si>
    <t xml:space="preserve">[opcional] Identificador único del árbol dentro de la parcela.</t>
  </si>
  <si>
    <t xml:space="preserve">Especie</t>
  </si>
  <si>
    <t xml:space="preserve">lista desplegable</t>
  </si>
  <si>
    <t xml:space="preserve">todos</t>
  </si>
  <si>
    <t xml:space="preserve">Una de las 4 especies del estudio: Pinus sylvestris, Pinus nigra, Pinus pinaster o Quercus pyrenaica.</t>
  </si>
  <si>
    <t xml:space="preserve">dbh (cm)</t>
  </si>
  <si>
    <t xml:space="preserve">numérico</t>
  </si>
  <si>
    <t xml:space="preserve">Diámetro normal (a 1,30 m). Los modelos se ajustaron con dbh ≥ 7,5 cm; por debajo no hay datos.</t>
  </si>
  <si>
    <t xml:space="preserve">Ho (m)</t>
  </si>
  <si>
    <t xml:space="preserve">Ext. con Ho · JCyL</t>
  </si>
  <si>
    <t xml:space="preserve">Altura dominante del rodal (m). Variable de masa más informativa; requiere medir algunas alturas en campo.</t>
  </si>
  <si>
    <t xml:space="preserve">Do (cm)</t>
  </si>
  <si>
    <t xml:space="preserve">Ext. con Ho</t>
  </si>
  <si>
    <t xml:space="preserve">Diámetro dominante del rodal (cm).</t>
  </si>
  <si>
    <t xml:space="preserve">dg (cm)</t>
  </si>
  <si>
    <t xml:space="preserve">JCyL</t>
  </si>
  <si>
    <t xml:space="preserve">Diámetro medio cuadrático del rodal (cm).</t>
  </si>
  <si>
    <t xml:space="preserve">N (pies/ha)</t>
  </si>
  <si>
    <t xml:space="preserve">Ext. sin Ho</t>
  </si>
  <si>
    <t xml:space="preserve">Densidad de la masa (pies por hectárea).</t>
  </si>
  <si>
    <t xml:space="preserve">G (m²/ha)</t>
  </si>
  <si>
    <t xml:space="preserve">Área basimétrica del rodal (m²/ha).</t>
  </si>
  <si>
    <t xml:space="preserve">BAL (m²/ha)</t>
  </si>
  <si>
    <t xml:space="preserve">Ext. (según especie)</t>
  </si>
  <si>
    <t xml:space="preserve">Área basimétrica acumulada de árboles de mayor diámetro (competencia).</t>
  </si>
  <si>
    <t xml:space="preserve">SDI</t>
  </si>
  <si>
    <t xml:space="preserve">Ext. sin Ho (pinaster)</t>
  </si>
  <si>
    <t xml:space="preserve">Índice de densidad de Reineke (adimensional).</t>
  </si>
  <si>
    <t xml:space="preserve">ALT (m)</t>
  </si>
  <si>
    <t xml:space="preserve">Ext. sin Ho (nigra/quercus)</t>
  </si>
  <si>
    <t xml:space="preserve">Altitud (m.s.n.m.); proxy de la productividad del sitio.</t>
  </si>
  <si>
    <t xml:space="preserve">h … (m)</t>
  </si>
  <si>
    <t xml:space="preserve">salida</t>
  </si>
  <si>
    <t xml:space="preserve">Altura total predicha por cada modelo (m). Celda vacía = faltan variables de entrada de ese modelo.</t>
  </si>
  <si>
    <t xml:space="preserve">Cómo funciona:</t>
  </si>
  <si>
    <t xml:space="preserve">1) Elige la Especie y escribe el dbh: se rellenan solas las columnas «h Base» y «h Nacional» (solo necesitan el diámetro).</t>
  </si>
  <si>
    <t xml:space="preserve">2) Si dispones de variables de masa del rodal (Ho, Do, dg, N, G, BAL, SDI, ALT), rellénalas y se activarán los modelos extendidos y el de la JCyL.</t>
  </si>
  <si>
    <t xml:space="preserve">3) Cada columna de altura es un modelo distinto; compara sus predicciones. Consulta la hoja «Modelos» para ver las ecuaciones y su precisión (validación).</t>
  </si>
  <si>
    <t xml:space="preserve">4) Los coeficientes por especie están en la hoja oculta «coefs» (no la edites salvo que reajustes el modelo).</t>
  </si>
  <si>
    <t xml:space="preserve">Recomendación del TFG: cuando haya altura dominante disponible, «h Ext. con Ho» y «h JCyL» son los más precisos (R²≈0,9 en pinos).</t>
  </si>
  <si>
    <t xml:space="preserve">base_p1</t>
  </si>
  <si>
    <t xml:space="preserve">base_p2</t>
  </si>
  <si>
    <t xml:space="preserve">base_p3</t>
  </si>
  <si>
    <t xml:space="preserve">h2_1</t>
  </si>
  <si>
    <t xml:space="preserve">h2_2</t>
  </si>
  <si>
    <t xml:space="preserve">h2_3</t>
  </si>
  <si>
    <t xml:space="preserve">h2_4</t>
  </si>
  <si>
    <t xml:space="preserve">h2_5</t>
  </si>
  <si>
    <t xml:space="preserve">h2_6</t>
  </si>
  <si>
    <t xml:space="preserve">h3_1</t>
  </si>
  <si>
    <t xml:space="preserve">h3_2</t>
  </si>
  <si>
    <t xml:space="preserve">h3_3</t>
  </si>
  <si>
    <t xml:space="preserve">h3_4</t>
  </si>
  <si>
    <t xml:space="preserve">h3_5</t>
  </si>
  <si>
    <t xml:space="preserve">h3_6</t>
  </si>
  <si>
    <t xml:space="preserve">j_a</t>
  </si>
  <si>
    <t xml:space="preserve">j_b</t>
  </si>
  <si>
    <t xml:space="preserve">j_c</t>
  </si>
  <si>
    <t xml:space="preserve">j_d</t>
  </si>
  <si>
    <t xml:space="preserve">n_a</t>
  </si>
  <si>
    <t xml:space="preserve">n_b</t>
  </si>
  <si>
    <t xml:space="preserve">Pinus sylvestris</t>
  </si>
  <si>
    <t xml:space="preserve">Pinus nigra</t>
  </si>
  <si>
    <t xml:space="preserve">Pinus pinaster</t>
  </si>
  <si>
    <t xml:space="preserve">Quercus pyrenaica</t>
  </si>
  <si>
    <t xml:space="preserve">h Base
Local 1 (m)</t>
  </si>
  <si>
    <t xml:space="preserve">h Ext. con Ho
Local 2 (m)</t>
  </si>
  <si>
    <t xml:space="preserve">h Ext. sin Ho
Local 3 (m)</t>
  </si>
  <si>
    <t xml:space="preserve">h JCyL (m)</t>
  </si>
  <si>
    <t xml:space="preserve">h Nacional (m)</t>
  </si>
  <si>
    <t xml:space="preserve">ej-1</t>
  </si>
  <si>
    <t xml:space="preserve">ej-2</t>
  </si>
  <si>
    <t xml:space="preserve">ej-3</t>
  </si>
  <si>
    <t xml:space="preserve">ej-4</t>
  </si>
  <si>
    <t xml:space="preserve">Modelos altura–diámetro implementados</t>
  </si>
  <si>
    <t xml:space="preserve">Cinco modelos por especie. h = altura total (m), dbh = diámetro normal (cm). En los modelos mixtos se aplican solo los efectos fijos (efecto aleatorio de inventario = 0).</t>
  </si>
  <si>
    <t xml:space="preserve">Modelo</t>
  </si>
  <si>
    <t xml:space="preserve">Entradas necesarias</t>
  </si>
  <si>
    <t xml:space="preserve">Ecuación</t>
  </si>
  <si>
    <t xml:space="preserve">Base (Local 1)</t>
  </si>
  <si>
    <t xml:space="preserve">Solo dbh</t>
  </si>
  <si>
    <t xml:space="preserve">P. sylvestris y P. nigra (M11, El Mamoun 2013): h = 1,3 + exp(a·exp(−b·dbh^(−c)))
P. pinaster (Pearl 1920): h = β0 / (1 + β1·exp(−β2·dbh))
Q. pyrenaica (Gompertz): h = a·exp(b·exp(−c·dbh))</t>
  </si>
  <si>
    <t xml:space="preserve">Ext. con Ho (Local 2)</t>
  </si>
  <si>
    <t xml:space="preserve">dbh + variables de masa (incl. Ho)</t>
  </si>
  <si>
    <t xml:space="preserve">Extensión del modelo base con efectos fijos de masa:
sylvestris: Ho, Do  ·  nigra: BAL, Do, Ho  ·  pinaster: Ho, N, Do  ·  pyrenaica: Ho, dg, BAL</t>
  </si>
  <si>
    <t xml:space="preserve">Ext. sin Ho (Local 3)</t>
  </si>
  <si>
    <t xml:space="preserve">dbh + variables de masa (sin Ho)</t>
  </si>
  <si>
    <t xml:space="preserve">Alternativa sin altura dominante:
sylvestris: N, G, BAL  ·  nigra: N, ALT, G  ·  pinaster: G, SDI  ·  pyrenaica: ALT, BAL, G</t>
  </si>
  <si>
    <t xml:space="preserve">JCyL (referencia)</t>
  </si>
  <si>
    <t xml:space="preserve">dbh + Ho + dg</t>
  </si>
  <si>
    <t xml:space="preserve">Modelo vigente JCyL (Schröder &amp; Álvarez-González 2001), reajustado localmente:
h = 1,3 + (a + b·Ho − c·dg)·exp(−d/√dbh)</t>
  </si>
  <si>
    <t xml:space="preserve">Nacional (referencia)</t>
  </si>
  <si>
    <t xml:space="preserve">Modelo generalizado nacional (Vázquez-Veloso et al. 2025), SIN reajuste local:
h = 1,3 + a·(ln(1+dbh))^b   — es el mismo tipo de modelo de la calculadora nacional original.</t>
  </si>
  <si>
    <t xml:space="preserve">Precisión en validación (25% de los datos)</t>
  </si>
  <si>
    <t xml:space="preserve">R²</t>
  </si>
  <si>
    <t xml:space="preserve">RMSE (m)</t>
  </si>
  <si>
    <t xml:space="preserve">MB (m)</t>
  </si>
  <si>
    <t xml:space="preserve">MAE (m)</t>
  </si>
  <si>
    <t xml:space="preserve">Nacional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</si>
</sst>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6E3C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5"/>
      <color rgb="FF1E6E3C"/>
      <name val="Calibri"/>
      <family val="0"/>
      <charset val="1"/>
    </font>
    <font>
      <b val="true"/>
      <sz val="13"/>
      <color rgb="FF1E6E3C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6E3C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B7472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747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true" outlineLevel="0" collapsed="false">
      <c r="A6" s="5" t="s">
        <v>7</v>
      </c>
      <c r="B6" s="6" t="s">
        <v>8</v>
      </c>
      <c r="C6" s="6" t="s">
        <v>9</v>
      </c>
      <c r="D6" s="7" t="s">
        <v>10</v>
      </c>
    </row>
    <row r="7" customFormat="false" ht="15" hidden="false" customHeight="true" outlineLevel="0" collapsed="false">
      <c r="A7" s="8" t="s">
        <v>11</v>
      </c>
      <c r="B7" s="9" t="s">
        <v>8</v>
      </c>
      <c r="C7" s="9" t="s">
        <v>9</v>
      </c>
      <c r="D7" s="10" t="s">
        <v>12</v>
      </c>
    </row>
    <row r="8" customFormat="false" ht="15" hidden="false" customHeight="true" outlineLevel="0" collapsed="false">
      <c r="A8" s="5" t="s">
        <v>13</v>
      </c>
      <c r="B8" s="6" t="s">
        <v>14</v>
      </c>
      <c r="C8" s="6" t="s">
        <v>15</v>
      </c>
      <c r="D8" s="7" t="s">
        <v>16</v>
      </c>
    </row>
    <row r="9" customFormat="false" ht="15" hidden="false" customHeight="true" outlineLevel="0" collapsed="false">
      <c r="A9" s="8" t="s">
        <v>17</v>
      </c>
      <c r="B9" s="9" t="s">
        <v>18</v>
      </c>
      <c r="C9" s="9" t="s">
        <v>15</v>
      </c>
      <c r="D9" s="10" t="s">
        <v>19</v>
      </c>
    </row>
    <row r="10" customFormat="false" ht="15" hidden="false" customHeight="true" outlineLevel="0" collapsed="false">
      <c r="A10" s="5" t="s">
        <v>20</v>
      </c>
      <c r="B10" s="6" t="s">
        <v>18</v>
      </c>
      <c r="C10" s="6" t="s">
        <v>21</v>
      </c>
      <c r="D10" s="7" t="s">
        <v>22</v>
      </c>
    </row>
    <row r="11" customFormat="false" ht="15" hidden="false" customHeight="true" outlineLevel="0" collapsed="false">
      <c r="A11" s="8" t="s">
        <v>23</v>
      </c>
      <c r="B11" s="9" t="s">
        <v>18</v>
      </c>
      <c r="C11" s="9" t="s">
        <v>24</v>
      </c>
      <c r="D11" s="10" t="s">
        <v>25</v>
      </c>
    </row>
    <row r="12" customFormat="false" ht="15" hidden="false" customHeight="true" outlineLevel="0" collapsed="false">
      <c r="A12" s="5" t="s">
        <v>26</v>
      </c>
      <c r="B12" s="6" t="s">
        <v>18</v>
      </c>
      <c r="C12" s="6" t="s">
        <v>27</v>
      </c>
      <c r="D12" s="7" t="s">
        <v>28</v>
      </c>
    </row>
    <row r="13" customFormat="false" ht="15" hidden="false" customHeight="true" outlineLevel="0" collapsed="false">
      <c r="A13" s="8" t="s">
        <v>29</v>
      </c>
      <c r="B13" s="9" t="s">
        <v>18</v>
      </c>
      <c r="C13" s="9" t="s">
        <v>30</v>
      </c>
      <c r="D13" s="10" t="s">
        <v>31</v>
      </c>
    </row>
    <row r="14" customFormat="false" ht="15" hidden="false" customHeight="true" outlineLevel="0" collapsed="false">
      <c r="A14" s="5" t="s">
        <v>32</v>
      </c>
      <c r="B14" s="6" t="s">
        <v>18</v>
      </c>
      <c r="C14" s="6" t="s">
        <v>30</v>
      </c>
      <c r="D14" s="7" t="s">
        <v>33</v>
      </c>
    </row>
    <row r="15" customFormat="false" ht="15" hidden="false" customHeight="true" outlineLevel="0" collapsed="false">
      <c r="A15" s="8" t="s">
        <v>34</v>
      </c>
      <c r="B15" s="9" t="s">
        <v>18</v>
      </c>
      <c r="C15" s="9" t="s">
        <v>35</v>
      </c>
      <c r="D15" s="10" t="s">
        <v>36</v>
      </c>
    </row>
    <row r="16" customFormat="false" ht="15" hidden="false" customHeight="true" outlineLevel="0" collapsed="false">
      <c r="A16" s="5" t="s">
        <v>37</v>
      </c>
      <c r="B16" s="6" t="s">
        <v>18</v>
      </c>
      <c r="C16" s="6" t="s">
        <v>38</v>
      </c>
      <c r="D16" s="7" t="s">
        <v>39</v>
      </c>
    </row>
    <row r="17" customFormat="false" ht="15" hidden="false" customHeight="true" outlineLevel="0" collapsed="false">
      <c r="A17" s="8" t="s">
        <v>40</v>
      </c>
      <c r="B17" s="9" t="s">
        <v>18</v>
      </c>
      <c r="C17" s="9" t="s">
        <v>41</v>
      </c>
      <c r="D17" s="10" t="s">
        <v>42</v>
      </c>
    </row>
    <row r="18" customFormat="false" ht="15" hidden="false" customHeight="true" outlineLevel="0" collapsed="false">
      <c r="A18" s="5" t="s">
        <v>43</v>
      </c>
      <c r="B18" s="6" t="s">
        <v>18</v>
      </c>
      <c r="C18" s="6" t="s">
        <v>44</v>
      </c>
      <c r="D18" s="7" t="s">
        <v>45</v>
      </c>
    </row>
    <row r="20" customFormat="false" ht="15" hidden="false" customHeight="true" outlineLevel="0" collapsed="false">
      <c r="A20" s="11" t="s">
        <v>46</v>
      </c>
    </row>
    <row r="21" customFormat="false" ht="15" hidden="false" customHeight="true" outlineLevel="0" collapsed="false">
      <c r="A21" s="12" t="s">
        <v>47</v>
      </c>
    </row>
    <row r="22" customFormat="false" ht="15" hidden="false" customHeight="true" outlineLevel="0" collapsed="false">
      <c r="A22" s="12" t="s">
        <v>48</v>
      </c>
    </row>
    <row r="23" customFormat="false" ht="15" hidden="false" customHeight="true" outlineLevel="0" collapsed="false">
      <c r="A23" s="12" t="s">
        <v>49</v>
      </c>
    </row>
    <row r="24" customFormat="false" ht="15" hidden="false" customHeight="true" outlineLevel="0" collapsed="false">
      <c r="A24" s="12" t="s">
        <v>50</v>
      </c>
    </row>
    <row r="25" customFormat="false" ht="15" hidden="false" customHeight="true" outlineLevel="0" collapsed="false">
      <c r="A25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13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</row>
    <row r="2" customFormat="false" ht="15" hidden="false" customHeight="true" outlineLevel="0" collapsed="false">
      <c r="A2" s="1" t="s">
        <v>73</v>
      </c>
      <c r="B2" s="1" t="n">
        <v>3.62</v>
      </c>
      <c r="C2" s="1" t="n">
        <v>4.812</v>
      </c>
      <c r="D2" s="1" t="n">
        <v>0.797</v>
      </c>
      <c r="E2" s="1" t="n">
        <v>2.314</v>
      </c>
      <c r="F2" s="1" t="n">
        <v>0.033</v>
      </c>
      <c r="G2" s="1" t="n">
        <v>1.48</v>
      </c>
      <c r="H2" s="1" t="n">
        <v>0.053</v>
      </c>
      <c r="I2" s="1" t="n">
        <v>0.262</v>
      </c>
      <c r="J2" s="1" t="n">
        <v>0.053</v>
      </c>
      <c r="K2" s="1" t="n">
        <v>3.394</v>
      </c>
      <c r="L2" s="1" t="n">
        <v>-0.0002</v>
      </c>
      <c r="M2" s="1" t="n">
        <v>4.969</v>
      </c>
      <c r="N2" s="1" t="n">
        <v>-0.054</v>
      </c>
      <c r="O2" s="1" t="n">
        <v>0.741</v>
      </c>
      <c r="P2" s="1" t="n">
        <v>0.003</v>
      </c>
      <c r="Q2" s="1" t="n">
        <v>0.799</v>
      </c>
      <c r="R2" s="1" t="n">
        <v>1.485</v>
      </c>
      <c r="S2" s="1" t="n">
        <v>0.075</v>
      </c>
      <c r="T2" s="1" t="n">
        <v>2.732</v>
      </c>
      <c r="U2" s="1" t="n">
        <v>0.837</v>
      </c>
      <c r="V2" s="1" t="n">
        <v>2.228</v>
      </c>
    </row>
    <row r="3" customFormat="false" ht="15" hidden="false" customHeight="true" outlineLevel="0" collapsed="false">
      <c r="A3" s="1" t="s">
        <v>74</v>
      </c>
      <c r="B3" s="1" t="n">
        <v>3.35</v>
      </c>
      <c r="C3" s="1" t="n">
        <v>10.166</v>
      </c>
      <c r="D3" s="1" t="n">
        <v>1.081</v>
      </c>
      <c r="E3" s="1" t="n">
        <v>3.057</v>
      </c>
      <c r="F3" s="1" t="n">
        <v>-0.0002</v>
      </c>
      <c r="G3" s="1" t="n">
        <v>1.584</v>
      </c>
      <c r="H3" s="1" t="n">
        <v>0.023</v>
      </c>
      <c r="I3" s="1" t="n">
        <v>0.079</v>
      </c>
      <c r="J3" s="1" t="n">
        <v>0.047</v>
      </c>
      <c r="K3" s="1" t="n">
        <v>3.039</v>
      </c>
      <c r="L3" s="1" t="n">
        <v>-0.0002</v>
      </c>
      <c r="M3" s="1" t="n">
        <v>11.905</v>
      </c>
      <c r="N3" s="1" t="n">
        <v>-0.005</v>
      </c>
      <c r="O3" s="1" t="n">
        <v>0.88</v>
      </c>
      <c r="P3" s="1" t="n">
        <v>0.011</v>
      </c>
      <c r="Q3" s="1" t="n">
        <v>1.961</v>
      </c>
      <c r="R3" s="1" t="n">
        <v>1.712</v>
      </c>
      <c r="S3" s="1" t="n">
        <v>0.103</v>
      </c>
      <c r="T3" s="1" t="n">
        <v>3.57</v>
      </c>
      <c r="U3" s="1" t="n">
        <v>0.645</v>
      </c>
      <c r="V3" s="1" t="n">
        <v>2.387</v>
      </c>
    </row>
    <row r="4" customFormat="false" ht="15" hidden="false" customHeight="true" outlineLevel="0" collapsed="false">
      <c r="A4" s="1" t="s">
        <v>75</v>
      </c>
      <c r="B4" s="1" t="n">
        <v>17.665</v>
      </c>
      <c r="C4" s="1" t="n">
        <v>4.673</v>
      </c>
      <c r="D4" s="1" t="n">
        <v>0.074</v>
      </c>
      <c r="E4" s="1" t="n">
        <v>3.013</v>
      </c>
      <c r="F4" s="1" t="n">
        <v>0.915</v>
      </c>
      <c r="G4" s="1" t="n">
        <v>2.502</v>
      </c>
      <c r="H4" s="1" t="n">
        <v>-0.0002</v>
      </c>
      <c r="I4" s="1" t="n">
        <v>0.104</v>
      </c>
      <c r="J4" s="1" t="n">
        <v>-0.0009</v>
      </c>
      <c r="K4" s="1" t="n">
        <v>13.976</v>
      </c>
      <c r="L4" s="1" t="n">
        <v>0.245</v>
      </c>
      <c r="M4" s="1" t="n">
        <v>2.874</v>
      </c>
      <c r="N4" s="1" t="n">
        <v>0.0001</v>
      </c>
      <c r="O4" s="1" t="n">
        <v>0.065</v>
      </c>
      <c r="P4" s="1" t="n">
        <v>-0.0006</v>
      </c>
      <c r="Q4" s="1" t="n">
        <v>4.679</v>
      </c>
      <c r="R4" s="1" t="n">
        <v>1.718</v>
      </c>
      <c r="S4" s="1" t="n">
        <v>0.103</v>
      </c>
      <c r="T4" s="1" t="n">
        <v>4.571</v>
      </c>
      <c r="U4" s="1" t="n">
        <v>0.418</v>
      </c>
      <c r="V4" s="1" t="n">
        <v>2.674</v>
      </c>
    </row>
    <row r="5" customFormat="false" ht="15" hidden="false" customHeight="true" outlineLevel="0" collapsed="false">
      <c r="A5" s="1" t="s">
        <v>76</v>
      </c>
      <c r="B5" s="1" t="n">
        <v>12.828</v>
      </c>
      <c r="C5" s="1" t="n">
        <v>-1.91</v>
      </c>
      <c r="D5" s="1" t="n">
        <v>0.118</v>
      </c>
      <c r="E5" s="1" t="n">
        <v>3.125</v>
      </c>
      <c r="F5" s="1" t="n">
        <v>0.734</v>
      </c>
      <c r="G5" s="1" t="n">
        <v>-0.544</v>
      </c>
      <c r="H5" s="1" t="n">
        <v>-0.081</v>
      </c>
      <c r="I5" s="1" t="n">
        <v>0.154</v>
      </c>
      <c r="J5" s="1" t="n">
        <v>-0.0001</v>
      </c>
      <c r="K5" s="1" t="n">
        <v>17.355</v>
      </c>
      <c r="L5" s="1" t="n">
        <v>-0.003</v>
      </c>
      <c r="M5" s="1" t="n">
        <v>-1.526</v>
      </c>
      <c r="N5" s="1" t="n">
        <v>-0.007</v>
      </c>
      <c r="O5" s="1" t="n">
        <v>0.058</v>
      </c>
      <c r="P5" s="1" t="n">
        <v>0.002</v>
      </c>
      <c r="Q5" s="1" t="n">
        <v>5.352</v>
      </c>
      <c r="R5" s="1" t="n">
        <v>1.153</v>
      </c>
      <c r="S5" s="1" t="n">
        <v>0.093</v>
      </c>
      <c r="T5" s="1" t="n">
        <v>3.136</v>
      </c>
      <c r="U5" s="1" t="n">
        <v>1.296</v>
      </c>
      <c r="V5" s="1" t="n">
        <v>1.888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7" min="5" style="1" width="9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2" min="11" style="1" width="9"/>
    <col collapsed="false" customWidth="true" hidden="false" outlineLevel="0" max="13" min="13" style="1" width="12"/>
    <col collapsed="false" customWidth="true" hidden="false" outlineLevel="0" max="15" min="14" style="1" width="13"/>
    <col collapsed="false" customWidth="true" hidden="false" outlineLevel="0" max="16" min="16" style="1" width="11"/>
    <col collapsed="false" customWidth="true" hidden="false" outlineLevel="0" max="17" min="17" style="1" width="12"/>
    <col collapsed="false" customWidth="true" hidden="true" outlineLevel="0" max="39" min="19" style="1" width="13"/>
  </cols>
  <sheetData>
    <row r="1" customFormat="false" ht="30" hidden="false" customHeight="true" outlineLevel="0" collapsed="false">
      <c r="A1" s="4" t="s">
        <v>7</v>
      </c>
      <c r="B1" s="4" t="s">
        <v>11</v>
      </c>
      <c r="C1" s="4" t="s">
        <v>13</v>
      </c>
      <c r="D1" s="4" t="s">
        <v>17</v>
      </c>
      <c r="E1" s="4" t="s">
        <v>20</v>
      </c>
      <c r="F1" s="4" t="s">
        <v>23</v>
      </c>
      <c r="G1" s="4" t="s">
        <v>26</v>
      </c>
      <c r="H1" s="4" t="s">
        <v>29</v>
      </c>
      <c r="I1" s="4" t="s">
        <v>32</v>
      </c>
      <c r="J1" s="4" t="s">
        <v>34</v>
      </c>
      <c r="K1" s="4" t="s">
        <v>37</v>
      </c>
      <c r="L1" s="4" t="s">
        <v>40</v>
      </c>
      <c r="M1" s="13" t="s">
        <v>77</v>
      </c>
      <c r="N1" s="13" t="s">
        <v>78</v>
      </c>
      <c r="O1" s="13" t="s">
        <v>79</v>
      </c>
      <c r="P1" s="13" t="s">
        <v>80</v>
      </c>
      <c r="Q1" s="13" t="s">
        <v>81</v>
      </c>
    </row>
    <row r="2" customFormat="false" ht="15" hidden="false" customHeight="true" outlineLevel="0" collapsed="false">
      <c r="A2" s="14" t="s">
        <v>82</v>
      </c>
      <c r="B2" s="14" t="n">
        <v>1</v>
      </c>
      <c r="C2" s="14" t="s">
        <v>73</v>
      </c>
      <c r="D2" s="15" t="n">
        <v>25</v>
      </c>
      <c r="E2" s="16" t="n">
        <v>18</v>
      </c>
      <c r="F2" s="16" t="n">
        <v>30</v>
      </c>
      <c r="G2" s="16" t="n">
        <v>24</v>
      </c>
      <c r="H2" s="17" t="n">
        <v>800</v>
      </c>
      <c r="I2" s="16" t="n">
        <v>28</v>
      </c>
      <c r="J2" s="16" t="n">
        <v>12</v>
      </c>
      <c r="K2" s="17" t="n">
        <v>700</v>
      </c>
      <c r="L2" s="17" t="n">
        <v>1200</v>
      </c>
      <c r="M2" s="15" t="n">
        <f aca="false">IFERROR(IF(OR($C2="",$D2=""),"",IF($C2="Pinus pinaster",S2/(1+T2*EXP(-U2*$D2)),IF($C2="Quercus pyrenaica",S2*EXP(T2*EXP(-U2*$D2)),1.3+EXP(S2*EXP(-T2*$D2^(-U2)))))),"")</f>
        <v>13.4889685731018</v>
      </c>
      <c r="N2" s="15" t="n">
        <f aca="false">IFERROR(IF($C2="Pinus sylvestris",IF(OR($D2="",$E2="",$F2=""),"",1.3+EXP((V2+W2*$E2)*EXP(-(X2+Y2*$F2)*$D2^(-(Z2+AA2*$E2))))),IF($C2="Pinus nigra",IF(OR($D2="",$E2="",$F2="",$J2=""),"",1.3+EXP((V2+W2*$J2)*EXP(-(X2+Y2*$F2)*$D2^(-(Z2+AA2*$E2))))),IF($C2="Pinus pinaster",IF(OR($D2="",$E2="",$H2="",$F2=""),"",(V2+W2*$E2)/(1+(X2+Y2*$H2)*EXP(-(Z2+AA2*$F2)*$D2))),IF($C2="Quercus pyrenaica",IF(OR($D2="",$E2="",$G2="",$J2=""),"",(V2+W2*$E2)*EXP((X2+Y2*$G2)*EXP(-(Z2+AA2*$J2)*$D2))),"")))),"")</f>
        <v>16.7124733908527</v>
      </c>
      <c r="O2" s="15" t="n">
        <f aca="false">IFERROR(IF($C2="Pinus sylvestris",IF(OR($D2="",$H2="",$I2="",$J2=""),"",1.3+EXP((AB2+AC2*$H2)*EXP(-(AD2+AE2*$I2)*$D2^(-(AF2+AG2*$J2))))),IF($C2="Pinus nigra",IF(OR($D2="",$H2="",$L2="",$I2=""),"",1.3+EXP((AB2+AC2*$H2)*EXP(-(AD2+AE2*$L2)*$D2^(-(AF2+AG2*$I2))))),IF($C2="Pinus pinaster",IF(OR($D2="",$I2="",$K2=""),"",(AB2+AC2*$I2)/(1+(AD2+AE2*$K2)*EXP(-(AF2+AG2*$I2)*$D2))),IF($C2="Quercus pyrenaica",IF(OR($D2="",$L2="",$J2="",$I2=""),"",(AB2+AC2*$L2)*EXP((AD2+AE2*$J2)*EXP(-(AF2+AG2*$I2)*$D2))),"")))),"")</f>
        <v>12.7243750284119</v>
      </c>
      <c r="P2" s="15" t="n">
        <f aca="false">IFERROR(IF(OR($C2="",$D2="",$E2="",$G2=""),"",1.3+(AH2+AI2*$E2-AJ2*$G2)*EXP(-AK2/SQRT($D2))),"")</f>
        <v>16.1978776081637</v>
      </c>
      <c r="Q2" s="15" t="n">
        <f aca="false">IFERROR(IF(OR($C2="",$D2=""),"",1.3+AL2*(LN(1+$D2))^AM2),"")</f>
        <v>12.9307878742898</v>
      </c>
      <c r="S2" s="1" t="n">
        <f aca="false">IF($C2="","",VLOOKUP($C2,coefs!$A:$V,2,FALSE()))</f>
        <v>3.62</v>
      </c>
      <c r="T2" s="1" t="n">
        <f aca="false">IF($C2="","",VLOOKUP($C2,coefs!$A:$V,3,FALSE()))</f>
        <v>4.812</v>
      </c>
      <c r="U2" s="1" t="n">
        <f aca="false">IF($C2="","",VLOOKUP($C2,coefs!$A:$V,4,FALSE()))</f>
        <v>0.797</v>
      </c>
      <c r="V2" s="1" t="n">
        <f aca="false">IF($C2="","",VLOOKUP($C2,coefs!$A:$V,5,FALSE()))</f>
        <v>2.314</v>
      </c>
      <c r="W2" s="1" t="n">
        <f aca="false">IF($C2="","",VLOOKUP($C2,coefs!$A:$V,6,FALSE()))</f>
        <v>0.033</v>
      </c>
      <c r="X2" s="1" t="n">
        <f aca="false">IF($C2="","",VLOOKUP($C2,coefs!$A:$V,7,FALSE()))</f>
        <v>1.48</v>
      </c>
      <c r="Y2" s="1" t="n">
        <f aca="false">IF($C2="","",VLOOKUP($C2,coefs!$A:$V,8,FALSE()))</f>
        <v>0.053</v>
      </c>
      <c r="Z2" s="1" t="n">
        <f aca="false">IF($C2="","",VLOOKUP($C2,coefs!$A:$V,9,FALSE()))</f>
        <v>0.262</v>
      </c>
      <c r="AA2" s="1" t="n">
        <f aca="false">IF($C2="","",VLOOKUP($C2,coefs!$A:$V,10,FALSE()))</f>
        <v>0.053</v>
      </c>
      <c r="AB2" s="1" t="n">
        <f aca="false">IF($C2="","",VLOOKUP($C2,coefs!$A:$V,11,FALSE()))</f>
        <v>3.394</v>
      </c>
      <c r="AC2" s="1" t="n">
        <f aca="false">IF($C2="","",VLOOKUP($C2,coefs!$A:$V,12,FALSE()))</f>
        <v>-0.0002</v>
      </c>
      <c r="AD2" s="1" t="n">
        <f aca="false">IF($C2="","",VLOOKUP($C2,coefs!$A:$V,13,FALSE()))</f>
        <v>4.969</v>
      </c>
      <c r="AE2" s="1" t="n">
        <f aca="false">IF($C2="","",VLOOKUP($C2,coefs!$A:$V,14,FALSE()))</f>
        <v>-0.054</v>
      </c>
      <c r="AF2" s="1" t="n">
        <f aca="false">IF($C2="","",VLOOKUP($C2,coefs!$A:$V,15,FALSE()))</f>
        <v>0.741</v>
      </c>
      <c r="AG2" s="1" t="n">
        <f aca="false">IF($C2="","",VLOOKUP($C2,coefs!$A:$V,16,FALSE()))</f>
        <v>0.003</v>
      </c>
      <c r="AH2" s="1" t="n">
        <f aca="false">IF($C2="","",VLOOKUP($C2,coefs!$A:$V,17,FALSE()))</f>
        <v>0.799</v>
      </c>
      <c r="AI2" s="1" t="n">
        <f aca="false">IF($C2="","",VLOOKUP($C2,coefs!$A:$V,18,FALSE()))</f>
        <v>1.485</v>
      </c>
      <c r="AJ2" s="1" t="n">
        <f aca="false">IF($C2="","",VLOOKUP($C2,coefs!$A:$V,19,FALSE()))</f>
        <v>0.075</v>
      </c>
      <c r="AK2" s="1" t="n">
        <f aca="false">IF($C2="","",VLOOKUP($C2,coefs!$A:$V,20,FALSE()))</f>
        <v>2.732</v>
      </c>
      <c r="AL2" s="1" t="n">
        <f aca="false">IF($C2="","",VLOOKUP($C2,coefs!$A:$V,21,FALSE()))</f>
        <v>0.837</v>
      </c>
      <c r="AM2" s="1" t="n">
        <f aca="false">IF($C2="","",VLOOKUP($C2,coefs!$A:$V,22,FALSE()))</f>
        <v>2.228</v>
      </c>
    </row>
    <row r="3" customFormat="false" ht="15" hidden="false" customHeight="true" outlineLevel="0" collapsed="false">
      <c r="A3" s="14" t="s">
        <v>83</v>
      </c>
      <c r="B3" s="14" t="n">
        <v>1</v>
      </c>
      <c r="C3" s="14" t="s">
        <v>74</v>
      </c>
      <c r="D3" s="15" t="n">
        <v>25</v>
      </c>
      <c r="E3" s="16" t="n">
        <v>16</v>
      </c>
      <c r="F3" s="16" t="n">
        <v>28</v>
      </c>
      <c r="G3" s="16" t="n">
        <v>23</v>
      </c>
      <c r="H3" s="17" t="n">
        <v>900</v>
      </c>
      <c r="I3" s="16" t="n">
        <v>26</v>
      </c>
      <c r="J3" s="16" t="n">
        <v>13</v>
      </c>
      <c r="K3" s="17" t="n">
        <v>680</v>
      </c>
      <c r="L3" s="17" t="n">
        <v>1300</v>
      </c>
      <c r="M3" s="15" t="n">
        <f aca="false">IFERROR(IF(OR($C3="",$D3=""),"",IF($C3="Pinus pinaster",S3/(1+T3*EXP(-U3*$D3)),IF($C3="Quercus pyrenaica",S3*EXP(T3*EXP(-U3*$D3)),1.3+EXP(S3*EXP(-T3*$D3^(-U3)))))),"")</f>
        <v>12.8758745558754</v>
      </c>
      <c r="N3" s="15" t="n">
        <f aca="false">IFERROR(IF($C3="Pinus sylvestris",IF(OR($D3="",$E3="",$F3=""),"",1.3+EXP((V3+W3*$E3)*EXP(-(X3+Y3*$F3)*$D3^(-(Z3+AA3*$E3))))),IF($C3="Pinus nigra",IF(OR($D3="",$E3="",$F3="",$J3=""),"",1.3+EXP((V3+W3*$J3)*EXP(-(X3+Y3*$F3)*$D3^(-(Z3+AA3*$E3))))),IF($C3="Pinus pinaster",IF(OR($D3="",$E3="",$H3="",$F3=""),"",(V3+W3*$E3)/(1+(X3+Y3*$H3)*EXP(-(Z3+AA3*$F3)*$D3))),IF($C3="Quercus pyrenaica",IF(OR($D3="",$E3="",$G3="",$J3=""),"",(V3+W3*$E3)*EXP((X3+Y3*$G3)*EXP(-(Z3+AA3*$J3)*$D3))),"")))),"")</f>
        <v>15.0309351736362</v>
      </c>
      <c r="O3" s="15" t="n">
        <f aca="false">IFERROR(IF($C3="Pinus sylvestris",IF(OR($D3="",$H3="",$I3="",$J3=""),"",1.3+EXP((AB3+AC3*$H3)*EXP(-(AD3+AE3*$I3)*$D3^(-(AF3+AG3*$J3))))),IF($C3="Pinus nigra",IF(OR($D3="",$H3="",$L3="",$I3=""),"",1.3+EXP((AB3+AC3*$H3)*EXP(-(AD3+AE3*$L3)*$D3^(-(AF3+AG3*$I3))))),IF($C3="Pinus pinaster",IF(OR($D3="",$I3="",$K3=""),"",(AB3+AC3*$I3)/(1+(AD3+AE3*$K3)*EXP(-(AF3+AG3*$I3)*$D3))),IF($C3="Quercus pyrenaica",IF(OR($D3="",$L3="",$J3="",$I3=""),"",(AB3+AC3*$L3)*EXP((AD3+AE3*$J3)*EXP(-(AF3+AG3*$I3)*$D3))),"")))),"")</f>
        <v>13.7131653669496</v>
      </c>
      <c r="P3" s="15" t="n">
        <f aca="false">IFERROR(IF(OR($C3="",$D3="",$E3="",$G3=""),"",1.3+(AH3+AI3*$E3-AJ3*$G3)*EXP(-AK3/SQRT($D3))),"")</f>
        <v>14.5135669070375</v>
      </c>
      <c r="Q3" s="15" t="n">
        <f aca="false">IFERROR(IF(OR($C3="",$D3=""),"",1.3+AL3*(LN(1+$D3))^AM3),"")</f>
        <v>12.1144555381628</v>
      </c>
      <c r="S3" s="1" t="n">
        <f aca="false">IF($C3="","",VLOOKUP($C3,coefs!$A:$V,2,FALSE()))</f>
        <v>3.35</v>
      </c>
      <c r="T3" s="1" t="n">
        <f aca="false">IF($C3="","",VLOOKUP($C3,coefs!$A:$V,3,FALSE()))</f>
        <v>10.166</v>
      </c>
      <c r="U3" s="1" t="n">
        <f aca="false">IF($C3="","",VLOOKUP($C3,coefs!$A:$V,4,FALSE()))</f>
        <v>1.081</v>
      </c>
      <c r="V3" s="1" t="n">
        <f aca="false">IF($C3="","",VLOOKUP($C3,coefs!$A:$V,5,FALSE()))</f>
        <v>3.057</v>
      </c>
      <c r="W3" s="1" t="n">
        <f aca="false">IF($C3="","",VLOOKUP($C3,coefs!$A:$V,6,FALSE()))</f>
        <v>-0.0002</v>
      </c>
      <c r="X3" s="1" t="n">
        <f aca="false">IF($C3="","",VLOOKUP($C3,coefs!$A:$V,7,FALSE()))</f>
        <v>1.584</v>
      </c>
      <c r="Y3" s="1" t="n">
        <f aca="false">IF($C3="","",VLOOKUP($C3,coefs!$A:$V,8,FALSE()))</f>
        <v>0.023</v>
      </c>
      <c r="Z3" s="1" t="n">
        <f aca="false">IF($C3="","",VLOOKUP($C3,coefs!$A:$V,9,FALSE()))</f>
        <v>0.079</v>
      </c>
      <c r="AA3" s="1" t="n">
        <f aca="false">IF($C3="","",VLOOKUP($C3,coefs!$A:$V,10,FALSE()))</f>
        <v>0.047</v>
      </c>
      <c r="AB3" s="1" t="n">
        <f aca="false">IF($C3="","",VLOOKUP($C3,coefs!$A:$V,11,FALSE()))</f>
        <v>3.039</v>
      </c>
      <c r="AC3" s="1" t="n">
        <f aca="false">IF($C3="","",VLOOKUP($C3,coefs!$A:$V,12,FALSE()))</f>
        <v>-0.0002</v>
      </c>
      <c r="AD3" s="1" t="n">
        <f aca="false">IF($C3="","",VLOOKUP($C3,coefs!$A:$V,13,FALSE()))</f>
        <v>11.905</v>
      </c>
      <c r="AE3" s="1" t="n">
        <f aca="false">IF($C3="","",VLOOKUP($C3,coefs!$A:$V,14,FALSE()))</f>
        <v>-0.005</v>
      </c>
      <c r="AF3" s="1" t="n">
        <f aca="false">IF($C3="","",VLOOKUP($C3,coefs!$A:$V,15,FALSE()))</f>
        <v>0.88</v>
      </c>
      <c r="AG3" s="1" t="n">
        <f aca="false">IF($C3="","",VLOOKUP($C3,coefs!$A:$V,16,FALSE()))</f>
        <v>0.011</v>
      </c>
      <c r="AH3" s="1" t="n">
        <f aca="false">IF($C3="","",VLOOKUP($C3,coefs!$A:$V,17,FALSE()))</f>
        <v>1.961</v>
      </c>
      <c r="AI3" s="1" t="n">
        <f aca="false">IF($C3="","",VLOOKUP($C3,coefs!$A:$V,18,FALSE()))</f>
        <v>1.712</v>
      </c>
      <c r="AJ3" s="1" t="n">
        <f aca="false">IF($C3="","",VLOOKUP($C3,coefs!$A:$V,19,FALSE()))</f>
        <v>0.103</v>
      </c>
      <c r="AK3" s="1" t="n">
        <f aca="false">IF($C3="","",VLOOKUP($C3,coefs!$A:$V,20,FALSE()))</f>
        <v>3.57</v>
      </c>
      <c r="AL3" s="1" t="n">
        <f aca="false">IF($C3="","",VLOOKUP($C3,coefs!$A:$V,21,FALSE()))</f>
        <v>0.645</v>
      </c>
      <c r="AM3" s="1" t="n">
        <f aca="false">IF($C3="","",VLOOKUP($C3,coefs!$A:$V,22,FALSE()))</f>
        <v>2.387</v>
      </c>
    </row>
    <row r="4" customFormat="false" ht="15" hidden="false" customHeight="true" outlineLevel="0" collapsed="false">
      <c r="A4" s="14" t="s">
        <v>84</v>
      </c>
      <c r="B4" s="14" t="n">
        <v>1</v>
      </c>
      <c r="C4" s="14" t="s">
        <v>75</v>
      </c>
      <c r="D4" s="15" t="n">
        <v>25</v>
      </c>
      <c r="E4" s="16" t="n">
        <v>14</v>
      </c>
      <c r="F4" s="16" t="n">
        <v>27</v>
      </c>
      <c r="G4" s="16" t="n">
        <v>22</v>
      </c>
      <c r="H4" s="17" t="n">
        <v>1000</v>
      </c>
      <c r="I4" s="16" t="n">
        <v>24</v>
      </c>
      <c r="J4" s="16" t="n">
        <v>14</v>
      </c>
      <c r="K4" s="17" t="n">
        <v>650</v>
      </c>
      <c r="L4" s="17" t="n">
        <v>1000</v>
      </c>
      <c r="M4" s="15" t="n">
        <f aca="false">IFERROR(IF(OR($C4="",$D4=""),"",IF($C4="Pinus pinaster",S4/(1+T4*EXP(-U4*$D4)),IF($C4="Quercus pyrenaica",S4*EXP(T4*EXP(-U4*$D4)),1.3+EXP(S4*EXP(-T4*$D4^(-U4)))))),"")</f>
        <v>10.1829103282809</v>
      </c>
      <c r="N4" s="15" t="n">
        <f aca="false">IFERROR(IF($C4="Pinus sylvestris",IF(OR($D4="",$E4="",$F4=""),"",1.3+EXP((V4+W4*$E4)*EXP(-(X4+Y4*$F4)*$D4^(-(Z4+AA4*$E4))))),IF($C4="Pinus nigra",IF(OR($D4="",$E4="",$F4="",$J4=""),"",1.3+EXP((V4+W4*$J4)*EXP(-(X4+Y4*$F4)*$D4^(-(Z4+AA4*$E4))))),IF($C4="Pinus pinaster",IF(OR($D4="",$E4="",$H4="",$F4=""),"",(V4+W4*$E4)/(1+(X4+Y4*$H4)*EXP(-(Z4+AA4*$F4)*$D4))),IF($C4="Quercus pyrenaica",IF(OR($D4="",$E4="",$G4="",$J4=""),"",(V4+W4*$E4)*EXP((X4+Y4*$G4)*EXP(-(Z4+AA4*$J4)*$D4))),"")))),"")</f>
        <v>12.042891021746</v>
      </c>
      <c r="O4" s="15" t="n">
        <f aca="false">IFERROR(IF($C4="Pinus sylvestris",IF(OR($D4="",$H4="",$I4="",$J4=""),"",1.3+EXP((AB4+AC4*$H4)*EXP(-(AD4+AE4*$I4)*$D4^(-(AF4+AG4*$J4))))),IF($C4="Pinus nigra",IF(OR($D4="",$H4="",$L4="",$I4=""),"",1.3+EXP((AB4+AC4*$H4)*EXP(-(AD4+AE4*$L4)*$D4^(-(AF4+AG4*$I4))))),IF($C4="Pinus pinaster",IF(OR($D4="",$I4="",$K4=""),"",(AB4+AC4*$I4)/(1+(AD4+AE4*$K4)*EXP(-(AF4+AG4*$I4)*$D4))),IF($C4="Quercus pyrenaica",IF(OR($D4="",$L4="",$J4="",$I4=""),"",(AB4+AC4*$L4)*EXP((AD4+AE4*$J4)*EXP(-(AF4+AG4*$I4)*$D4))),"")))),"")</f>
        <v>10.8532309289993</v>
      </c>
      <c r="P4" s="15" t="n">
        <f aca="false">IFERROR(IF(OR($C4="",$D4="",$E4="",$G4=""),"",1.3+(AH4+AI4*$E4-AJ4*$G4)*EXP(-AK4/SQRT($D4))),"")</f>
        <v>11.908155640301</v>
      </c>
      <c r="Q4" s="15" t="n">
        <f aca="false">IFERROR(IF(OR($C4="",$D4=""),"",1.3+AL4*(LN(1+$D4))^AM4),"")</f>
        <v>11.1365290701753</v>
      </c>
      <c r="S4" s="1" t="n">
        <f aca="false">IF($C4="","",VLOOKUP($C4,coefs!$A:$V,2,FALSE()))</f>
        <v>17.665</v>
      </c>
      <c r="T4" s="1" t="n">
        <f aca="false">IF($C4="","",VLOOKUP($C4,coefs!$A:$V,3,FALSE()))</f>
        <v>4.673</v>
      </c>
      <c r="U4" s="1" t="n">
        <f aca="false">IF($C4="","",VLOOKUP($C4,coefs!$A:$V,4,FALSE()))</f>
        <v>0.074</v>
      </c>
      <c r="V4" s="1" t="n">
        <f aca="false">IF($C4="","",VLOOKUP($C4,coefs!$A:$V,5,FALSE()))</f>
        <v>3.013</v>
      </c>
      <c r="W4" s="1" t="n">
        <f aca="false">IF($C4="","",VLOOKUP($C4,coefs!$A:$V,6,FALSE()))</f>
        <v>0.915</v>
      </c>
      <c r="X4" s="1" t="n">
        <f aca="false">IF($C4="","",VLOOKUP($C4,coefs!$A:$V,7,FALSE()))</f>
        <v>2.502</v>
      </c>
      <c r="Y4" s="1" t="n">
        <f aca="false">IF($C4="","",VLOOKUP($C4,coefs!$A:$V,8,FALSE()))</f>
        <v>-0.0002</v>
      </c>
      <c r="Z4" s="1" t="n">
        <f aca="false">IF($C4="","",VLOOKUP($C4,coefs!$A:$V,9,FALSE()))</f>
        <v>0.104</v>
      </c>
      <c r="AA4" s="1" t="n">
        <f aca="false">IF($C4="","",VLOOKUP($C4,coefs!$A:$V,10,FALSE()))</f>
        <v>-0.0009</v>
      </c>
      <c r="AB4" s="1" t="n">
        <f aca="false">IF($C4="","",VLOOKUP($C4,coefs!$A:$V,11,FALSE()))</f>
        <v>13.976</v>
      </c>
      <c r="AC4" s="1" t="n">
        <f aca="false">IF($C4="","",VLOOKUP($C4,coefs!$A:$V,12,FALSE()))</f>
        <v>0.245</v>
      </c>
      <c r="AD4" s="1" t="n">
        <f aca="false">IF($C4="","",VLOOKUP($C4,coefs!$A:$V,13,FALSE()))</f>
        <v>2.874</v>
      </c>
      <c r="AE4" s="1" t="n">
        <f aca="false">IF($C4="","",VLOOKUP($C4,coefs!$A:$V,14,FALSE()))</f>
        <v>0.0001</v>
      </c>
      <c r="AF4" s="1" t="n">
        <f aca="false">IF($C4="","",VLOOKUP($C4,coefs!$A:$V,15,FALSE()))</f>
        <v>0.065</v>
      </c>
      <c r="AG4" s="1" t="n">
        <f aca="false">IF($C4="","",VLOOKUP($C4,coefs!$A:$V,16,FALSE()))</f>
        <v>-0.0006</v>
      </c>
      <c r="AH4" s="1" t="n">
        <f aca="false">IF($C4="","",VLOOKUP($C4,coefs!$A:$V,17,FALSE()))</f>
        <v>4.679</v>
      </c>
      <c r="AI4" s="1" t="n">
        <f aca="false">IF($C4="","",VLOOKUP($C4,coefs!$A:$V,18,FALSE()))</f>
        <v>1.718</v>
      </c>
      <c r="AJ4" s="1" t="n">
        <f aca="false">IF($C4="","",VLOOKUP($C4,coefs!$A:$V,19,FALSE()))</f>
        <v>0.103</v>
      </c>
      <c r="AK4" s="1" t="n">
        <f aca="false">IF($C4="","",VLOOKUP($C4,coefs!$A:$V,20,FALSE()))</f>
        <v>4.571</v>
      </c>
      <c r="AL4" s="1" t="n">
        <f aca="false">IF($C4="","",VLOOKUP($C4,coefs!$A:$V,21,FALSE()))</f>
        <v>0.418</v>
      </c>
      <c r="AM4" s="1" t="n">
        <f aca="false">IF($C4="","",VLOOKUP($C4,coefs!$A:$V,22,FALSE()))</f>
        <v>2.674</v>
      </c>
    </row>
    <row r="5" customFormat="false" ht="15" hidden="false" customHeight="true" outlineLevel="0" collapsed="false">
      <c r="A5" s="14" t="s">
        <v>85</v>
      </c>
      <c r="B5" s="14" t="n">
        <v>1</v>
      </c>
      <c r="C5" s="14" t="s">
        <v>76</v>
      </c>
      <c r="D5" s="15" t="n">
        <v>20</v>
      </c>
      <c r="E5" s="16" t="n">
        <v>11</v>
      </c>
      <c r="F5" s="16" t="n">
        <v>22</v>
      </c>
      <c r="G5" s="16" t="n">
        <v>18</v>
      </c>
      <c r="H5" s="17" t="n">
        <v>1500</v>
      </c>
      <c r="I5" s="16" t="n">
        <v>20</v>
      </c>
      <c r="J5" s="16" t="n">
        <v>15</v>
      </c>
      <c r="K5" s="17" t="n">
        <v>600</v>
      </c>
      <c r="L5" s="17" t="n">
        <v>1100</v>
      </c>
      <c r="M5" s="15" t="n">
        <f aca="false">IFERROR(IF(OR($C5="",$D5=""),"",IF($C5="Pinus pinaster",S5/(1+T5*EXP(-U5*$D5)),IF($C5="Quercus pyrenaica",S5*EXP(T5*EXP(-U5*$D5)),1.3+EXP(S5*EXP(-T5*$D5^(-U5)))))),"")</f>
        <v>10.7111757126487</v>
      </c>
      <c r="N5" s="15" t="n">
        <f aca="false">IFERROR(IF($C5="Pinus sylvestris",IF(OR($D5="",$E5="",$F5=""),"",1.3+EXP((V5+W5*$E5)*EXP(-(X5+Y5*$F5)*$D5^(-(Z5+AA5*$E5))))),IF($C5="Pinus nigra",IF(OR($D5="",$E5="",$F5="",$J5=""),"",1.3+EXP((V5+W5*$J5)*EXP(-(X5+Y5*$F5)*$D5^(-(Z5+AA5*$E5))))),IF($C5="Pinus pinaster",IF(OR($D5="",$E5="",$H5="",$F5=""),"",(V5+W5*$E5)/(1+(X5+Y5*$H5)*EXP(-(Z5+AA5*$F5)*$D5))),IF($C5="Quercus pyrenaica",IF(OR($D5="",$E5="",$G5="",$J5=""),"",(V5+W5*$E5)*EXP((X5+Y5*$G5)*EXP(-(Z5+AA5*$J5)*$D5))),"")))),"")</f>
        <v>10.1859765060902</v>
      </c>
      <c r="O5" s="15" t="n">
        <f aca="false">IFERROR(IF($C5="Pinus sylvestris",IF(OR($D5="",$H5="",$I5="",$J5=""),"",1.3+EXP((AB5+AC5*$H5)*EXP(-(AD5+AE5*$I5)*$D5^(-(AF5+AG5*$J5))))),IF($C5="Pinus nigra",IF(OR($D5="",$H5="",$L5="",$I5=""),"",1.3+EXP((AB5+AC5*$H5)*EXP(-(AD5+AE5*$L5)*$D5^(-(AF5+AG5*$I5))))),IF($C5="Pinus pinaster",IF(OR($D5="",$I5="",$K5=""),"",(AB5+AC5*$I5)/(1+(AD5+AE5*$K5)*EXP(-(AF5+AG5*$I5)*$D5))),IF($C5="Quercus pyrenaica",IF(OR($D5="",$L5="",$J5="",$I5=""),"",(AB5+AC5*$L5)*EXP((AD5+AE5*$J5)*EXP(-(AF5+AG5*$I5)*$D5))),"")))),"")</f>
        <v>11.1700726806916</v>
      </c>
      <c r="P5" s="15" t="n">
        <f aca="false">IFERROR(IF(OR($C5="",$D5="",$E5="",$G5=""),"",1.3+(AH5+AI5*$E5-AJ5*$G5)*EXP(-AK5/SQRT($D5))),"")</f>
        <v>9.41463755397634</v>
      </c>
      <c r="Q5" s="15" t="n">
        <f aca="false">IFERROR(IF(OR($C5="",$D5=""),"",1.3+AL5*(LN(1+$D5))^AM5),"")</f>
        <v>11.9044759540401</v>
      </c>
      <c r="S5" s="1" t="n">
        <f aca="false">IF($C5="","",VLOOKUP($C5,coefs!$A:$V,2,FALSE()))</f>
        <v>12.828</v>
      </c>
      <c r="T5" s="1" t="n">
        <f aca="false">IF($C5="","",VLOOKUP($C5,coefs!$A:$V,3,FALSE()))</f>
        <v>-1.91</v>
      </c>
      <c r="U5" s="1" t="n">
        <f aca="false">IF($C5="","",VLOOKUP($C5,coefs!$A:$V,4,FALSE()))</f>
        <v>0.118</v>
      </c>
      <c r="V5" s="1" t="n">
        <f aca="false">IF($C5="","",VLOOKUP($C5,coefs!$A:$V,5,FALSE()))</f>
        <v>3.125</v>
      </c>
      <c r="W5" s="1" t="n">
        <f aca="false">IF($C5="","",VLOOKUP($C5,coefs!$A:$V,6,FALSE()))</f>
        <v>0.734</v>
      </c>
      <c r="X5" s="1" t="n">
        <f aca="false">IF($C5="","",VLOOKUP($C5,coefs!$A:$V,7,FALSE()))</f>
        <v>-0.544</v>
      </c>
      <c r="Y5" s="1" t="n">
        <f aca="false">IF($C5="","",VLOOKUP($C5,coefs!$A:$V,8,FALSE()))</f>
        <v>-0.081</v>
      </c>
      <c r="Z5" s="1" t="n">
        <f aca="false">IF($C5="","",VLOOKUP($C5,coefs!$A:$V,9,FALSE()))</f>
        <v>0.154</v>
      </c>
      <c r="AA5" s="1" t="n">
        <f aca="false">IF($C5="","",VLOOKUP($C5,coefs!$A:$V,10,FALSE()))</f>
        <v>-0.0001</v>
      </c>
      <c r="AB5" s="1" t="n">
        <f aca="false">IF($C5="","",VLOOKUP($C5,coefs!$A:$V,11,FALSE()))</f>
        <v>17.355</v>
      </c>
      <c r="AC5" s="1" t="n">
        <f aca="false">IF($C5="","",VLOOKUP($C5,coefs!$A:$V,12,FALSE()))</f>
        <v>-0.003</v>
      </c>
      <c r="AD5" s="1" t="n">
        <f aca="false">IF($C5="","",VLOOKUP($C5,coefs!$A:$V,13,FALSE()))</f>
        <v>-1.526</v>
      </c>
      <c r="AE5" s="1" t="n">
        <f aca="false">IF($C5="","",VLOOKUP($C5,coefs!$A:$V,14,FALSE()))</f>
        <v>-0.007</v>
      </c>
      <c r="AF5" s="1" t="n">
        <f aca="false">IF($C5="","",VLOOKUP($C5,coefs!$A:$V,15,FALSE()))</f>
        <v>0.058</v>
      </c>
      <c r="AG5" s="1" t="n">
        <f aca="false">IF($C5="","",VLOOKUP($C5,coefs!$A:$V,16,FALSE()))</f>
        <v>0.002</v>
      </c>
      <c r="AH5" s="1" t="n">
        <f aca="false">IF($C5="","",VLOOKUP($C5,coefs!$A:$V,17,FALSE()))</f>
        <v>5.352</v>
      </c>
      <c r="AI5" s="1" t="n">
        <f aca="false">IF($C5="","",VLOOKUP($C5,coefs!$A:$V,18,FALSE()))</f>
        <v>1.153</v>
      </c>
      <c r="AJ5" s="1" t="n">
        <f aca="false">IF($C5="","",VLOOKUP($C5,coefs!$A:$V,19,FALSE()))</f>
        <v>0.093</v>
      </c>
      <c r="AK5" s="1" t="n">
        <f aca="false">IF($C5="","",VLOOKUP($C5,coefs!$A:$V,20,FALSE()))</f>
        <v>3.136</v>
      </c>
      <c r="AL5" s="1" t="n">
        <f aca="false">IF($C5="","",VLOOKUP($C5,coefs!$A:$V,21,FALSE()))</f>
        <v>1.296</v>
      </c>
      <c r="AM5" s="1" t="n">
        <f aca="false">IF($C5="","",VLOOKUP($C5,coefs!$A:$V,22,FALSE()))</f>
        <v>1.888</v>
      </c>
    </row>
    <row r="6" customFormat="false" ht="15" hidden="false" customHeight="true" outlineLevel="0" collapsed="false">
      <c r="A6" s="14"/>
      <c r="B6" s="14"/>
      <c r="C6" s="14"/>
      <c r="D6" s="15"/>
      <c r="E6" s="16"/>
      <c r="F6" s="16"/>
      <c r="G6" s="16"/>
      <c r="H6" s="17"/>
      <c r="I6" s="16"/>
      <c r="J6" s="16"/>
      <c r="K6" s="17"/>
      <c r="L6" s="17"/>
      <c r="M6" s="15" t="str">
        <f aca="false">IFERROR(IF(OR($C6="",$D6=""),"",IF($C6="Pinus pinaster",S6/(1+T6*EXP(-U6*$D6)),IF($C6="Quercus pyrenaica",S6*EXP(T6*EXP(-U6*$D6)),1.3+EXP(S6*EXP(-T6*$D6^(-U6)))))),"")</f>
        <v/>
      </c>
      <c r="N6" s="15" t="str">
        <f aca="false">IFERROR(IF($C6="Pinus sylvestris",IF(OR($D6="",$E6="",$F6=""),"",1.3+EXP((V6+W6*$E6)*EXP(-(X6+Y6*$F6)*$D6^(-(Z6+AA6*$E6))))),IF($C6="Pinus nigra",IF(OR($D6="",$E6="",$F6="",$J6=""),"",1.3+EXP((V6+W6*$J6)*EXP(-(X6+Y6*$F6)*$D6^(-(Z6+AA6*$E6))))),IF($C6="Pinus pinaster",IF(OR($D6="",$E6="",$H6="",$F6=""),"",(V6+W6*$E6)/(1+(X6+Y6*$H6)*EXP(-(Z6+AA6*$F6)*$D6))),IF($C6="Quercus pyrenaica",IF(OR($D6="",$E6="",$G6="",$J6=""),"",(V6+W6*$E6)*EXP((X6+Y6*$G6)*EXP(-(Z6+AA6*$J6)*$D6))),"")))),"")</f>
        <v/>
      </c>
      <c r="O6" s="15" t="str">
        <f aca="false">IFERROR(IF($C6="Pinus sylvestris",IF(OR($D6="",$H6="",$I6="",$J6=""),"",1.3+EXP((AB6+AC6*$H6)*EXP(-(AD6+AE6*$I6)*$D6^(-(AF6+AG6*$J6))))),IF($C6="Pinus nigra",IF(OR($D6="",$H6="",$L6="",$I6=""),"",1.3+EXP((AB6+AC6*$H6)*EXP(-(AD6+AE6*$L6)*$D6^(-(AF6+AG6*$I6))))),IF($C6="Pinus pinaster",IF(OR($D6="",$I6="",$K6=""),"",(AB6+AC6*$I6)/(1+(AD6+AE6*$K6)*EXP(-(AF6+AG6*$I6)*$D6))),IF($C6="Quercus pyrenaica",IF(OR($D6="",$L6="",$J6="",$I6=""),"",(AB6+AC6*$L6)*EXP((AD6+AE6*$J6)*EXP(-(AF6+AG6*$I6)*$D6))),"")))),"")</f>
        <v/>
      </c>
      <c r="P6" s="15" t="str">
        <f aca="false">IFERROR(IF(OR($C6="",$D6="",$E6="",$G6=""),"",1.3+(AH6+AI6*$E6-AJ6*$G6)*EXP(-AK6/SQRT($D6))),"")</f>
        <v/>
      </c>
      <c r="Q6" s="15" t="str">
        <f aca="false">IFERROR(IF(OR($C6="",$D6=""),"",1.3+AL6*(LN(1+$D6))^AM6),"")</f>
        <v/>
      </c>
      <c r="S6" s="1" t="str">
        <f aca="false">IF($C6="","",VLOOKUP($C6,coefs!$A:$V,2,FALSE()))</f>
        <v/>
      </c>
      <c r="T6" s="1" t="str">
        <f aca="false">IF($C6="","",VLOOKUP($C6,coefs!$A:$V,3,FALSE()))</f>
        <v/>
      </c>
      <c r="U6" s="1" t="str">
        <f aca="false">IF($C6="","",VLOOKUP($C6,coefs!$A:$V,4,FALSE()))</f>
        <v/>
      </c>
      <c r="V6" s="1" t="str">
        <f aca="false">IF($C6="","",VLOOKUP($C6,coefs!$A:$V,5,FALSE()))</f>
        <v/>
      </c>
      <c r="W6" s="1" t="str">
        <f aca="false">IF($C6="","",VLOOKUP($C6,coefs!$A:$V,6,FALSE()))</f>
        <v/>
      </c>
      <c r="X6" s="1" t="str">
        <f aca="false">IF($C6="","",VLOOKUP($C6,coefs!$A:$V,7,FALSE()))</f>
        <v/>
      </c>
      <c r="Y6" s="1" t="str">
        <f aca="false">IF($C6="","",VLOOKUP($C6,coefs!$A:$V,8,FALSE()))</f>
        <v/>
      </c>
      <c r="Z6" s="1" t="str">
        <f aca="false">IF($C6="","",VLOOKUP($C6,coefs!$A:$V,9,FALSE()))</f>
        <v/>
      </c>
      <c r="AA6" s="1" t="str">
        <f aca="false">IF($C6="","",VLOOKUP($C6,coefs!$A:$V,10,FALSE()))</f>
        <v/>
      </c>
      <c r="AB6" s="1" t="str">
        <f aca="false">IF($C6="","",VLOOKUP($C6,coefs!$A:$V,11,FALSE()))</f>
        <v/>
      </c>
      <c r="AC6" s="1" t="str">
        <f aca="false">IF($C6="","",VLOOKUP($C6,coefs!$A:$V,12,FALSE()))</f>
        <v/>
      </c>
      <c r="AD6" s="1" t="str">
        <f aca="false">IF($C6="","",VLOOKUP($C6,coefs!$A:$V,13,FALSE()))</f>
        <v/>
      </c>
      <c r="AE6" s="1" t="str">
        <f aca="false">IF($C6="","",VLOOKUP($C6,coefs!$A:$V,14,FALSE()))</f>
        <v/>
      </c>
      <c r="AF6" s="1" t="str">
        <f aca="false">IF($C6="","",VLOOKUP($C6,coefs!$A:$V,15,FALSE()))</f>
        <v/>
      </c>
      <c r="AG6" s="1" t="str">
        <f aca="false">IF($C6="","",VLOOKUP($C6,coefs!$A:$V,16,FALSE()))</f>
        <v/>
      </c>
      <c r="AH6" s="1" t="str">
        <f aca="false">IF($C6="","",VLOOKUP($C6,coefs!$A:$V,17,FALSE()))</f>
        <v/>
      </c>
      <c r="AI6" s="1" t="str">
        <f aca="false">IF($C6="","",VLOOKUP($C6,coefs!$A:$V,18,FALSE()))</f>
        <v/>
      </c>
      <c r="AJ6" s="1" t="str">
        <f aca="false">IF($C6="","",VLOOKUP($C6,coefs!$A:$V,19,FALSE()))</f>
        <v/>
      </c>
      <c r="AK6" s="1" t="str">
        <f aca="false">IF($C6="","",VLOOKUP($C6,coefs!$A:$V,20,FALSE()))</f>
        <v/>
      </c>
      <c r="AL6" s="1" t="str">
        <f aca="false">IF($C6="","",VLOOKUP($C6,coefs!$A:$V,21,FALSE()))</f>
        <v/>
      </c>
      <c r="AM6" s="1" t="str">
        <f aca="false">IF($C6="","",VLOOKUP($C6,coefs!$A:$V,22,FALSE()))</f>
        <v/>
      </c>
    </row>
    <row r="7" customFormat="false" ht="15" hidden="false" customHeight="true" outlineLevel="0" collapsed="false">
      <c r="A7" s="14"/>
      <c r="B7" s="14"/>
      <c r="C7" s="14"/>
      <c r="D7" s="15"/>
      <c r="E7" s="16"/>
      <c r="F7" s="16"/>
      <c r="G7" s="16"/>
      <c r="H7" s="17"/>
      <c r="I7" s="16"/>
      <c r="J7" s="16"/>
      <c r="K7" s="17"/>
      <c r="L7" s="17"/>
      <c r="M7" s="15" t="str">
        <f aca="false">IFERROR(IF(OR($C7="",$D7=""),"",IF($C7="Pinus pinaster",S7/(1+T7*EXP(-U7*$D7)),IF($C7="Quercus pyrenaica",S7*EXP(T7*EXP(-U7*$D7)),1.3+EXP(S7*EXP(-T7*$D7^(-U7)))))),"")</f>
        <v/>
      </c>
      <c r="N7" s="15" t="str">
        <f aca="false">IFERROR(IF($C7="Pinus sylvestris",IF(OR($D7="",$E7="",$F7=""),"",1.3+EXP((V7+W7*$E7)*EXP(-(X7+Y7*$F7)*$D7^(-(Z7+AA7*$E7))))),IF($C7="Pinus nigra",IF(OR($D7="",$E7="",$F7="",$J7=""),"",1.3+EXP((V7+W7*$J7)*EXP(-(X7+Y7*$F7)*$D7^(-(Z7+AA7*$E7))))),IF($C7="Pinus pinaster",IF(OR($D7="",$E7="",$H7="",$F7=""),"",(V7+W7*$E7)/(1+(X7+Y7*$H7)*EXP(-(Z7+AA7*$F7)*$D7))),IF($C7="Quercus pyrenaica",IF(OR($D7="",$E7="",$G7="",$J7=""),"",(V7+W7*$E7)*EXP((X7+Y7*$G7)*EXP(-(Z7+AA7*$J7)*$D7))),"")))),"")</f>
        <v/>
      </c>
      <c r="O7" s="15" t="str">
        <f aca="false">IFERROR(IF($C7="Pinus sylvestris",IF(OR($D7="",$H7="",$I7="",$J7=""),"",1.3+EXP((AB7+AC7*$H7)*EXP(-(AD7+AE7*$I7)*$D7^(-(AF7+AG7*$J7))))),IF($C7="Pinus nigra",IF(OR($D7="",$H7="",$L7="",$I7=""),"",1.3+EXP((AB7+AC7*$H7)*EXP(-(AD7+AE7*$L7)*$D7^(-(AF7+AG7*$I7))))),IF($C7="Pinus pinaster",IF(OR($D7="",$I7="",$K7=""),"",(AB7+AC7*$I7)/(1+(AD7+AE7*$K7)*EXP(-(AF7+AG7*$I7)*$D7))),IF($C7="Quercus pyrenaica",IF(OR($D7="",$L7="",$J7="",$I7=""),"",(AB7+AC7*$L7)*EXP((AD7+AE7*$J7)*EXP(-(AF7+AG7*$I7)*$D7))),"")))),"")</f>
        <v/>
      </c>
      <c r="P7" s="15" t="str">
        <f aca="false">IFERROR(IF(OR($C7="",$D7="",$E7="",$G7=""),"",1.3+(AH7+AI7*$E7-AJ7*$G7)*EXP(-AK7/SQRT($D7))),"")</f>
        <v/>
      </c>
      <c r="Q7" s="15" t="str">
        <f aca="false">IFERROR(IF(OR($C7="",$D7=""),"",1.3+AL7*(LN(1+$D7))^AM7),"")</f>
        <v/>
      </c>
      <c r="S7" s="1" t="str">
        <f aca="false">IF($C7="","",VLOOKUP($C7,coefs!$A:$V,2,FALSE()))</f>
        <v/>
      </c>
      <c r="T7" s="1" t="str">
        <f aca="false">IF($C7="","",VLOOKUP($C7,coefs!$A:$V,3,FALSE()))</f>
        <v/>
      </c>
      <c r="U7" s="1" t="str">
        <f aca="false">IF($C7="","",VLOOKUP($C7,coefs!$A:$V,4,FALSE()))</f>
        <v/>
      </c>
      <c r="V7" s="1" t="str">
        <f aca="false">IF($C7="","",VLOOKUP($C7,coefs!$A:$V,5,FALSE()))</f>
        <v/>
      </c>
      <c r="W7" s="1" t="str">
        <f aca="false">IF($C7="","",VLOOKUP($C7,coefs!$A:$V,6,FALSE()))</f>
        <v/>
      </c>
      <c r="X7" s="1" t="str">
        <f aca="false">IF($C7="","",VLOOKUP($C7,coefs!$A:$V,7,FALSE()))</f>
        <v/>
      </c>
      <c r="Y7" s="1" t="str">
        <f aca="false">IF($C7="","",VLOOKUP($C7,coefs!$A:$V,8,FALSE()))</f>
        <v/>
      </c>
      <c r="Z7" s="1" t="str">
        <f aca="false">IF($C7="","",VLOOKUP($C7,coefs!$A:$V,9,FALSE()))</f>
        <v/>
      </c>
      <c r="AA7" s="1" t="str">
        <f aca="false">IF($C7="","",VLOOKUP($C7,coefs!$A:$V,10,FALSE()))</f>
        <v/>
      </c>
      <c r="AB7" s="1" t="str">
        <f aca="false">IF($C7="","",VLOOKUP($C7,coefs!$A:$V,11,FALSE()))</f>
        <v/>
      </c>
      <c r="AC7" s="1" t="str">
        <f aca="false">IF($C7="","",VLOOKUP($C7,coefs!$A:$V,12,FALSE()))</f>
        <v/>
      </c>
      <c r="AD7" s="1" t="str">
        <f aca="false">IF($C7="","",VLOOKUP($C7,coefs!$A:$V,13,FALSE()))</f>
        <v/>
      </c>
      <c r="AE7" s="1" t="str">
        <f aca="false">IF($C7="","",VLOOKUP($C7,coefs!$A:$V,14,FALSE()))</f>
        <v/>
      </c>
      <c r="AF7" s="1" t="str">
        <f aca="false">IF($C7="","",VLOOKUP($C7,coefs!$A:$V,15,FALSE()))</f>
        <v/>
      </c>
      <c r="AG7" s="1" t="str">
        <f aca="false">IF($C7="","",VLOOKUP($C7,coefs!$A:$V,16,FALSE()))</f>
        <v/>
      </c>
      <c r="AH7" s="1" t="str">
        <f aca="false">IF($C7="","",VLOOKUP($C7,coefs!$A:$V,17,FALSE()))</f>
        <v/>
      </c>
      <c r="AI7" s="1" t="str">
        <f aca="false">IF($C7="","",VLOOKUP($C7,coefs!$A:$V,18,FALSE()))</f>
        <v/>
      </c>
      <c r="AJ7" s="1" t="str">
        <f aca="false">IF($C7="","",VLOOKUP($C7,coefs!$A:$V,19,FALSE()))</f>
        <v/>
      </c>
      <c r="AK7" s="1" t="str">
        <f aca="false">IF($C7="","",VLOOKUP($C7,coefs!$A:$V,20,FALSE()))</f>
        <v/>
      </c>
      <c r="AL7" s="1" t="str">
        <f aca="false">IF($C7="","",VLOOKUP($C7,coefs!$A:$V,21,FALSE()))</f>
        <v/>
      </c>
      <c r="AM7" s="1" t="str">
        <f aca="false">IF($C7="","",VLOOKUP($C7,coefs!$A:$V,22,FALSE()))</f>
        <v/>
      </c>
    </row>
    <row r="8" customFormat="false" ht="15" hidden="false" customHeight="true" outlineLevel="0" collapsed="false">
      <c r="A8" s="14"/>
      <c r="B8" s="14"/>
      <c r="C8" s="14"/>
      <c r="D8" s="15"/>
      <c r="E8" s="16"/>
      <c r="F8" s="16"/>
      <c r="G8" s="16"/>
      <c r="H8" s="17"/>
      <c r="I8" s="16"/>
      <c r="J8" s="16"/>
      <c r="K8" s="17"/>
      <c r="L8" s="17"/>
      <c r="M8" s="15" t="str">
        <f aca="false">IFERROR(IF(OR($C8="",$D8=""),"",IF($C8="Pinus pinaster",S8/(1+T8*EXP(-U8*$D8)),IF($C8="Quercus pyrenaica",S8*EXP(T8*EXP(-U8*$D8)),1.3+EXP(S8*EXP(-T8*$D8^(-U8)))))),"")</f>
        <v/>
      </c>
      <c r="N8" s="15" t="str">
        <f aca="false">IFERROR(IF($C8="Pinus sylvestris",IF(OR($D8="",$E8="",$F8=""),"",1.3+EXP((V8+W8*$E8)*EXP(-(X8+Y8*$F8)*$D8^(-(Z8+AA8*$E8))))),IF($C8="Pinus nigra",IF(OR($D8="",$E8="",$F8="",$J8=""),"",1.3+EXP((V8+W8*$J8)*EXP(-(X8+Y8*$F8)*$D8^(-(Z8+AA8*$E8))))),IF($C8="Pinus pinaster",IF(OR($D8="",$E8="",$H8="",$F8=""),"",(V8+W8*$E8)/(1+(X8+Y8*$H8)*EXP(-(Z8+AA8*$F8)*$D8))),IF($C8="Quercus pyrenaica",IF(OR($D8="",$E8="",$G8="",$J8=""),"",(V8+W8*$E8)*EXP((X8+Y8*$G8)*EXP(-(Z8+AA8*$J8)*$D8))),"")))),"")</f>
        <v/>
      </c>
      <c r="O8" s="15" t="str">
        <f aca="false">IFERROR(IF($C8="Pinus sylvestris",IF(OR($D8="",$H8="",$I8="",$J8=""),"",1.3+EXP((AB8+AC8*$H8)*EXP(-(AD8+AE8*$I8)*$D8^(-(AF8+AG8*$J8))))),IF($C8="Pinus nigra",IF(OR($D8="",$H8="",$L8="",$I8=""),"",1.3+EXP((AB8+AC8*$H8)*EXP(-(AD8+AE8*$L8)*$D8^(-(AF8+AG8*$I8))))),IF($C8="Pinus pinaster",IF(OR($D8="",$I8="",$K8=""),"",(AB8+AC8*$I8)/(1+(AD8+AE8*$K8)*EXP(-(AF8+AG8*$I8)*$D8))),IF($C8="Quercus pyrenaica",IF(OR($D8="",$L8="",$J8="",$I8=""),"",(AB8+AC8*$L8)*EXP((AD8+AE8*$J8)*EXP(-(AF8+AG8*$I8)*$D8))),"")))),"")</f>
        <v/>
      </c>
      <c r="P8" s="15" t="str">
        <f aca="false">IFERROR(IF(OR($C8="",$D8="",$E8="",$G8=""),"",1.3+(AH8+AI8*$E8-AJ8*$G8)*EXP(-AK8/SQRT($D8))),"")</f>
        <v/>
      </c>
      <c r="Q8" s="15" t="str">
        <f aca="false">IFERROR(IF(OR($C8="",$D8=""),"",1.3+AL8*(LN(1+$D8))^AM8),"")</f>
        <v/>
      </c>
      <c r="S8" s="1" t="str">
        <f aca="false">IF($C8="","",VLOOKUP($C8,coefs!$A:$V,2,FALSE()))</f>
        <v/>
      </c>
      <c r="T8" s="1" t="str">
        <f aca="false">IF($C8="","",VLOOKUP($C8,coefs!$A:$V,3,FALSE()))</f>
        <v/>
      </c>
      <c r="U8" s="1" t="str">
        <f aca="false">IF($C8="","",VLOOKUP($C8,coefs!$A:$V,4,FALSE()))</f>
        <v/>
      </c>
      <c r="V8" s="1" t="str">
        <f aca="false">IF($C8="","",VLOOKUP($C8,coefs!$A:$V,5,FALSE()))</f>
        <v/>
      </c>
      <c r="W8" s="1" t="str">
        <f aca="false">IF($C8="","",VLOOKUP($C8,coefs!$A:$V,6,FALSE()))</f>
        <v/>
      </c>
      <c r="X8" s="1" t="str">
        <f aca="false">IF($C8="","",VLOOKUP($C8,coefs!$A:$V,7,FALSE()))</f>
        <v/>
      </c>
      <c r="Y8" s="1" t="str">
        <f aca="false">IF($C8="","",VLOOKUP($C8,coefs!$A:$V,8,FALSE()))</f>
        <v/>
      </c>
      <c r="Z8" s="1" t="str">
        <f aca="false">IF($C8="","",VLOOKUP($C8,coefs!$A:$V,9,FALSE()))</f>
        <v/>
      </c>
      <c r="AA8" s="1" t="str">
        <f aca="false">IF($C8="","",VLOOKUP($C8,coefs!$A:$V,10,FALSE()))</f>
        <v/>
      </c>
      <c r="AB8" s="1" t="str">
        <f aca="false">IF($C8="","",VLOOKUP($C8,coefs!$A:$V,11,FALSE()))</f>
        <v/>
      </c>
      <c r="AC8" s="1" t="str">
        <f aca="false">IF($C8="","",VLOOKUP($C8,coefs!$A:$V,12,FALSE()))</f>
        <v/>
      </c>
      <c r="AD8" s="1" t="str">
        <f aca="false">IF($C8="","",VLOOKUP($C8,coefs!$A:$V,13,FALSE()))</f>
        <v/>
      </c>
      <c r="AE8" s="1" t="str">
        <f aca="false">IF($C8="","",VLOOKUP($C8,coefs!$A:$V,14,FALSE()))</f>
        <v/>
      </c>
      <c r="AF8" s="1" t="str">
        <f aca="false">IF($C8="","",VLOOKUP($C8,coefs!$A:$V,15,FALSE()))</f>
        <v/>
      </c>
      <c r="AG8" s="1" t="str">
        <f aca="false">IF($C8="","",VLOOKUP($C8,coefs!$A:$V,16,FALSE()))</f>
        <v/>
      </c>
      <c r="AH8" s="1" t="str">
        <f aca="false">IF($C8="","",VLOOKUP($C8,coefs!$A:$V,17,FALSE()))</f>
        <v/>
      </c>
      <c r="AI8" s="1" t="str">
        <f aca="false">IF($C8="","",VLOOKUP($C8,coefs!$A:$V,18,FALSE()))</f>
        <v/>
      </c>
      <c r="AJ8" s="1" t="str">
        <f aca="false">IF($C8="","",VLOOKUP($C8,coefs!$A:$V,19,FALSE()))</f>
        <v/>
      </c>
      <c r="AK8" s="1" t="str">
        <f aca="false">IF($C8="","",VLOOKUP($C8,coefs!$A:$V,20,FALSE()))</f>
        <v/>
      </c>
      <c r="AL8" s="1" t="str">
        <f aca="false">IF($C8="","",VLOOKUP($C8,coefs!$A:$V,21,FALSE()))</f>
        <v/>
      </c>
      <c r="AM8" s="1" t="str">
        <f aca="false">IF($C8="","",VLOOKUP($C8,coefs!$A:$V,22,FALSE()))</f>
        <v/>
      </c>
    </row>
    <row r="9" customFormat="false" ht="15" hidden="false" customHeight="true" outlineLevel="0" collapsed="false">
      <c r="A9" s="14"/>
      <c r="B9" s="14"/>
      <c r="C9" s="14"/>
      <c r="D9" s="15"/>
      <c r="E9" s="16"/>
      <c r="F9" s="16"/>
      <c r="G9" s="16"/>
      <c r="H9" s="17"/>
      <c r="I9" s="16"/>
      <c r="J9" s="16"/>
      <c r="K9" s="17"/>
      <c r="L9" s="17"/>
      <c r="M9" s="15" t="str">
        <f aca="false">IFERROR(IF(OR($C9="",$D9=""),"",IF($C9="Pinus pinaster",S9/(1+T9*EXP(-U9*$D9)),IF($C9="Quercus pyrenaica",S9*EXP(T9*EXP(-U9*$D9)),1.3+EXP(S9*EXP(-T9*$D9^(-U9)))))),"")</f>
        <v/>
      </c>
      <c r="N9" s="15" t="str">
        <f aca="false">IFERROR(IF($C9="Pinus sylvestris",IF(OR($D9="",$E9="",$F9=""),"",1.3+EXP((V9+W9*$E9)*EXP(-(X9+Y9*$F9)*$D9^(-(Z9+AA9*$E9))))),IF($C9="Pinus nigra",IF(OR($D9="",$E9="",$F9="",$J9=""),"",1.3+EXP((V9+W9*$J9)*EXP(-(X9+Y9*$F9)*$D9^(-(Z9+AA9*$E9))))),IF($C9="Pinus pinaster",IF(OR($D9="",$E9="",$H9="",$F9=""),"",(V9+W9*$E9)/(1+(X9+Y9*$H9)*EXP(-(Z9+AA9*$F9)*$D9))),IF($C9="Quercus pyrenaica",IF(OR($D9="",$E9="",$G9="",$J9=""),"",(V9+W9*$E9)*EXP((X9+Y9*$G9)*EXP(-(Z9+AA9*$J9)*$D9))),"")))),"")</f>
        <v/>
      </c>
      <c r="O9" s="15" t="str">
        <f aca="false">IFERROR(IF($C9="Pinus sylvestris",IF(OR($D9="",$H9="",$I9="",$J9=""),"",1.3+EXP((AB9+AC9*$H9)*EXP(-(AD9+AE9*$I9)*$D9^(-(AF9+AG9*$J9))))),IF($C9="Pinus nigra",IF(OR($D9="",$H9="",$L9="",$I9=""),"",1.3+EXP((AB9+AC9*$H9)*EXP(-(AD9+AE9*$L9)*$D9^(-(AF9+AG9*$I9))))),IF($C9="Pinus pinaster",IF(OR($D9="",$I9="",$K9=""),"",(AB9+AC9*$I9)/(1+(AD9+AE9*$K9)*EXP(-(AF9+AG9*$I9)*$D9))),IF($C9="Quercus pyrenaica",IF(OR($D9="",$L9="",$J9="",$I9=""),"",(AB9+AC9*$L9)*EXP((AD9+AE9*$J9)*EXP(-(AF9+AG9*$I9)*$D9))),"")))),"")</f>
        <v/>
      </c>
      <c r="P9" s="15" t="str">
        <f aca="false">IFERROR(IF(OR($C9="",$D9="",$E9="",$G9=""),"",1.3+(AH9+AI9*$E9-AJ9*$G9)*EXP(-AK9/SQRT($D9))),"")</f>
        <v/>
      </c>
      <c r="Q9" s="15" t="str">
        <f aca="false">IFERROR(IF(OR($C9="",$D9=""),"",1.3+AL9*(LN(1+$D9))^AM9),"")</f>
        <v/>
      </c>
      <c r="S9" s="1" t="str">
        <f aca="false">IF($C9="","",VLOOKUP($C9,coefs!$A:$V,2,FALSE()))</f>
        <v/>
      </c>
      <c r="T9" s="1" t="str">
        <f aca="false">IF($C9="","",VLOOKUP($C9,coefs!$A:$V,3,FALSE()))</f>
        <v/>
      </c>
      <c r="U9" s="1" t="str">
        <f aca="false">IF($C9="","",VLOOKUP($C9,coefs!$A:$V,4,FALSE()))</f>
        <v/>
      </c>
      <c r="V9" s="1" t="str">
        <f aca="false">IF($C9="","",VLOOKUP($C9,coefs!$A:$V,5,FALSE()))</f>
        <v/>
      </c>
      <c r="W9" s="1" t="str">
        <f aca="false">IF($C9="","",VLOOKUP($C9,coefs!$A:$V,6,FALSE()))</f>
        <v/>
      </c>
      <c r="X9" s="1" t="str">
        <f aca="false">IF($C9="","",VLOOKUP($C9,coefs!$A:$V,7,FALSE()))</f>
        <v/>
      </c>
      <c r="Y9" s="1" t="str">
        <f aca="false">IF($C9="","",VLOOKUP($C9,coefs!$A:$V,8,FALSE()))</f>
        <v/>
      </c>
      <c r="Z9" s="1" t="str">
        <f aca="false">IF($C9="","",VLOOKUP($C9,coefs!$A:$V,9,FALSE()))</f>
        <v/>
      </c>
      <c r="AA9" s="1" t="str">
        <f aca="false">IF($C9="","",VLOOKUP($C9,coefs!$A:$V,10,FALSE()))</f>
        <v/>
      </c>
      <c r="AB9" s="1" t="str">
        <f aca="false">IF($C9="","",VLOOKUP($C9,coefs!$A:$V,11,FALSE()))</f>
        <v/>
      </c>
      <c r="AC9" s="1" t="str">
        <f aca="false">IF($C9="","",VLOOKUP($C9,coefs!$A:$V,12,FALSE()))</f>
        <v/>
      </c>
      <c r="AD9" s="1" t="str">
        <f aca="false">IF($C9="","",VLOOKUP($C9,coefs!$A:$V,13,FALSE()))</f>
        <v/>
      </c>
      <c r="AE9" s="1" t="str">
        <f aca="false">IF($C9="","",VLOOKUP($C9,coefs!$A:$V,14,FALSE()))</f>
        <v/>
      </c>
      <c r="AF9" s="1" t="str">
        <f aca="false">IF($C9="","",VLOOKUP($C9,coefs!$A:$V,15,FALSE()))</f>
        <v/>
      </c>
      <c r="AG9" s="1" t="str">
        <f aca="false">IF($C9="","",VLOOKUP($C9,coefs!$A:$V,16,FALSE()))</f>
        <v/>
      </c>
      <c r="AH9" s="1" t="str">
        <f aca="false">IF($C9="","",VLOOKUP($C9,coefs!$A:$V,17,FALSE()))</f>
        <v/>
      </c>
      <c r="AI9" s="1" t="str">
        <f aca="false">IF($C9="","",VLOOKUP($C9,coefs!$A:$V,18,FALSE()))</f>
        <v/>
      </c>
      <c r="AJ9" s="1" t="str">
        <f aca="false">IF($C9="","",VLOOKUP($C9,coefs!$A:$V,19,FALSE()))</f>
        <v/>
      </c>
      <c r="AK9" s="1" t="str">
        <f aca="false">IF($C9="","",VLOOKUP($C9,coefs!$A:$V,20,FALSE()))</f>
        <v/>
      </c>
      <c r="AL9" s="1" t="str">
        <f aca="false">IF($C9="","",VLOOKUP($C9,coefs!$A:$V,21,FALSE()))</f>
        <v/>
      </c>
      <c r="AM9" s="1" t="str">
        <f aca="false">IF($C9="","",VLOOKUP($C9,coefs!$A:$V,22,FALSE()))</f>
        <v/>
      </c>
    </row>
    <row r="10" customFormat="false" ht="15" hidden="false" customHeight="true" outlineLevel="0" collapsed="false">
      <c r="A10" s="14"/>
      <c r="B10" s="14"/>
      <c r="C10" s="14"/>
      <c r="D10" s="15"/>
      <c r="E10" s="16"/>
      <c r="F10" s="16"/>
      <c r="G10" s="16"/>
      <c r="H10" s="17"/>
      <c r="I10" s="16"/>
      <c r="J10" s="16"/>
      <c r="K10" s="17"/>
      <c r="L10" s="17"/>
      <c r="M10" s="15" t="str">
        <f aca="false">IFERROR(IF(OR($C10="",$D10=""),"",IF($C10="Pinus pinaster",S10/(1+T10*EXP(-U10*$D10)),IF($C10="Quercus pyrenaica",S10*EXP(T10*EXP(-U10*$D10)),1.3+EXP(S10*EXP(-T10*$D10^(-U10)))))),"")</f>
        <v/>
      </c>
      <c r="N10" s="15" t="str">
        <f aca="false">IFERROR(IF($C10="Pinus sylvestris",IF(OR($D10="",$E10="",$F10=""),"",1.3+EXP((V10+W10*$E10)*EXP(-(X10+Y10*$F10)*$D10^(-(Z10+AA10*$E10))))),IF($C10="Pinus nigra",IF(OR($D10="",$E10="",$F10="",$J10=""),"",1.3+EXP((V10+W10*$J10)*EXP(-(X10+Y10*$F10)*$D10^(-(Z10+AA10*$E10))))),IF($C10="Pinus pinaster",IF(OR($D10="",$E10="",$H10="",$F10=""),"",(V10+W10*$E10)/(1+(X10+Y10*$H10)*EXP(-(Z10+AA10*$F10)*$D10))),IF($C10="Quercus pyrenaica",IF(OR($D10="",$E10="",$G10="",$J10=""),"",(V10+W10*$E10)*EXP((X10+Y10*$G10)*EXP(-(Z10+AA10*$J10)*$D10))),"")))),"")</f>
        <v/>
      </c>
      <c r="O10" s="15" t="str">
        <f aca="false">IFERROR(IF($C10="Pinus sylvestris",IF(OR($D10="",$H10="",$I10="",$J10=""),"",1.3+EXP((AB10+AC10*$H10)*EXP(-(AD10+AE10*$I10)*$D10^(-(AF10+AG10*$J10))))),IF($C10="Pinus nigra",IF(OR($D10="",$H10="",$L10="",$I10=""),"",1.3+EXP((AB10+AC10*$H10)*EXP(-(AD10+AE10*$L10)*$D10^(-(AF10+AG10*$I10))))),IF($C10="Pinus pinaster",IF(OR($D10="",$I10="",$K10=""),"",(AB10+AC10*$I10)/(1+(AD10+AE10*$K10)*EXP(-(AF10+AG10*$I10)*$D10))),IF($C10="Quercus pyrenaica",IF(OR($D10="",$L10="",$J10="",$I10=""),"",(AB10+AC10*$L10)*EXP((AD10+AE10*$J10)*EXP(-(AF10+AG10*$I10)*$D10))),"")))),"")</f>
        <v/>
      </c>
      <c r="P10" s="15" t="str">
        <f aca="false">IFERROR(IF(OR($C10="",$D10="",$E10="",$G10=""),"",1.3+(AH10+AI10*$E10-AJ10*$G10)*EXP(-AK10/SQRT($D10))),"")</f>
        <v/>
      </c>
      <c r="Q10" s="15" t="str">
        <f aca="false">IFERROR(IF(OR($C10="",$D10=""),"",1.3+AL10*(LN(1+$D10))^AM10),"")</f>
        <v/>
      </c>
      <c r="S10" s="1" t="str">
        <f aca="false">IF($C10="","",VLOOKUP($C10,coefs!$A:$V,2,FALSE()))</f>
        <v/>
      </c>
      <c r="T10" s="1" t="str">
        <f aca="false">IF($C10="","",VLOOKUP($C10,coefs!$A:$V,3,FALSE()))</f>
        <v/>
      </c>
      <c r="U10" s="1" t="str">
        <f aca="false">IF($C10="","",VLOOKUP($C10,coefs!$A:$V,4,FALSE()))</f>
        <v/>
      </c>
      <c r="V10" s="1" t="str">
        <f aca="false">IF($C10="","",VLOOKUP($C10,coefs!$A:$V,5,FALSE()))</f>
        <v/>
      </c>
      <c r="W10" s="1" t="str">
        <f aca="false">IF($C10="","",VLOOKUP($C10,coefs!$A:$V,6,FALSE()))</f>
        <v/>
      </c>
      <c r="X10" s="1" t="str">
        <f aca="false">IF($C10="","",VLOOKUP($C10,coefs!$A:$V,7,FALSE()))</f>
        <v/>
      </c>
      <c r="Y10" s="1" t="str">
        <f aca="false">IF($C10="","",VLOOKUP($C10,coefs!$A:$V,8,FALSE()))</f>
        <v/>
      </c>
      <c r="Z10" s="1" t="str">
        <f aca="false">IF($C10="","",VLOOKUP($C10,coefs!$A:$V,9,FALSE()))</f>
        <v/>
      </c>
      <c r="AA10" s="1" t="str">
        <f aca="false">IF($C10="","",VLOOKUP($C10,coefs!$A:$V,10,FALSE()))</f>
        <v/>
      </c>
      <c r="AB10" s="1" t="str">
        <f aca="false">IF($C10="","",VLOOKUP($C10,coefs!$A:$V,11,FALSE()))</f>
        <v/>
      </c>
      <c r="AC10" s="1" t="str">
        <f aca="false">IF($C10="","",VLOOKUP($C10,coefs!$A:$V,12,FALSE()))</f>
        <v/>
      </c>
      <c r="AD10" s="1" t="str">
        <f aca="false">IF($C10="","",VLOOKUP($C10,coefs!$A:$V,13,FALSE()))</f>
        <v/>
      </c>
      <c r="AE10" s="1" t="str">
        <f aca="false">IF($C10="","",VLOOKUP($C10,coefs!$A:$V,14,FALSE()))</f>
        <v/>
      </c>
      <c r="AF10" s="1" t="str">
        <f aca="false">IF($C10="","",VLOOKUP($C10,coefs!$A:$V,15,FALSE()))</f>
        <v/>
      </c>
      <c r="AG10" s="1" t="str">
        <f aca="false">IF($C10="","",VLOOKUP($C10,coefs!$A:$V,16,FALSE()))</f>
        <v/>
      </c>
      <c r="AH10" s="1" t="str">
        <f aca="false">IF($C10="","",VLOOKUP($C10,coefs!$A:$V,17,FALSE()))</f>
        <v/>
      </c>
      <c r="AI10" s="1" t="str">
        <f aca="false">IF($C10="","",VLOOKUP($C10,coefs!$A:$V,18,FALSE()))</f>
        <v/>
      </c>
      <c r="AJ10" s="1" t="str">
        <f aca="false">IF($C10="","",VLOOKUP($C10,coefs!$A:$V,19,FALSE()))</f>
        <v/>
      </c>
      <c r="AK10" s="1" t="str">
        <f aca="false">IF($C10="","",VLOOKUP($C10,coefs!$A:$V,20,FALSE()))</f>
        <v/>
      </c>
      <c r="AL10" s="1" t="str">
        <f aca="false">IF($C10="","",VLOOKUP($C10,coefs!$A:$V,21,FALSE()))</f>
        <v/>
      </c>
      <c r="AM10" s="1" t="str">
        <f aca="false">IF($C10="","",VLOOKUP($C10,coefs!$A:$V,22,FALSE()))</f>
        <v/>
      </c>
    </row>
    <row r="11" customFormat="false" ht="15" hidden="false" customHeight="true" outlineLevel="0" collapsed="false">
      <c r="A11" s="14"/>
      <c r="B11" s="14"/>
      <c r="C11" s="14"/>
      <c r="D11" s="15"/>
      <c r="E11" s="16"/>
      <c r="F11" s="16"/>
      <c r="G11" s="16"/>
      <c r="H11" s="17"/>
      <c r="I11" s="16"/>
      <c r="J11" s="16"/>
      <c r="K11" s="17"/>
      <c r="L11" s="17"/>
      <c r="M11" s="15" t="str">
        <f aca="false">IFERROR(IF(OR($C11="",$D11=""),"",IF($C11="Pinus pinaster",S11/(1+T11*EXP(-U11*$D11)),IF($C11="Quercus pyrenaica",S11*EXP(T11*EXP(-U11*$D11)),1.3+EXP(S11*EXP(-T11*$D11^(-U11)))))),"")</f>
        <v/>
      </c>
      <c r="N11" s="15" t="str">
        <f aca="false">IFERROR(IF($C11="Pinus sylvestris",IF(OR($D11="",$E11="",$F11=""),"",1.3+EXP((V11+W11*$E11)*EXP(-(X11+Y11*$F11)*$D11^(-(Z11+AA11*$E11))))),IF($C11="Pinus nigra",IF(OR($D11="",$E11="",$F11="",$J11=""),"",1.3+EXP((V11+W11*$J11)*EXP(-(X11+Y11*$F11)*$D11^(-(Z11+AA11*$E11))))),IF($C11="Pinus pinaster",IF(OR($D11="",$E11="",$H11="",$F11=""),"",(V11+W11*$E11)/(1+(X11+Y11*$H11)*EXP(-(Z11+AA11*$F11)*$D11))),IF($C11="Quercus pyrenaica",IF(OR($D11="",$E11="",$G11="",$J11=""),"",(V11+W11*$E11)*EXP((X11+Y11*$G11)*EXP(-(Z11+AA11*$J11)*$D11))),"")))),"")</f>
        <v/>
      </c>
      <c r="O11" s="15" t="str">
        <f aca="false">IFERROR(IF($C11="Pinus sylvestris",IF(OR($D11="",$H11="",$I11="",$J11=""),"",1.3+EXP((AB11+AC11*$H11)*EXP(-(AD11+AE11*$I11)*$D11^(-(AF11+AG11*$J11))))),IF($C11="Pinus nigra",IF(OR($D11="",$H11="",$L11="",$I11=""),"",1.3+EXP((AB11+AC11*$H11)*EXP(-(AD11+AE11*$L11)*$D11^(-(AF11+AG11*$I11))))),IF($C11="Pinus pinaster",IF(OR($D11="",$I11="",$K11=""),"",(AB11+AC11*$I11)/(1+(AD11+AE11*$K11)*EXP(-(AF11+AG11*$I11)*$D11))),IF($C11="Quercus pyrenaica",IF(OR($D11="",$L11="",$J11="",$I11=""),"",(AB11+AC11*$L11)*EXP((AD11+AE11*$J11)*EXP(-(AF11+AG11*$I11)*$D11))),"")))),"")</f>
        <v/>
      </c>
      <c r="P11" s="15" t="str">
        <f aca="false">IFERROR(IF(OR($C11="",$D11="",$E11="",$G11=""),"",1.3+(AH11+AI11*$E11-AJ11*$G11)*EXP(-AK11/SQRT($D11))),"")</f>
        <v/>
      </c>
      <c r="Q11" s="15" t="str">
        <f aca="false">IFERROR(IF(OR($C11="",$D11=""),"",1.3+AL11*(LN(1+$D11))^AM11),"")</f>
        <v/>
      </c>
      <c r="S11" s="1" t="str">
        <f aca="false">IF($C11="","",VLOOKUP($C11,coefs!$A:$V,2,FALSE()))</f>
        <v/>
      </c>
      <c r="T11" s="1" t="str">
        <f aca="false">IF($C11="","",VLOOKUP($C11,coefs!$A:$V,3,FALSE()))</f>
        <v/>
      </c>
      <c r="U11" s="1" t="str">
        <f aca="false">IF($C11="","",VLOOKUP($C11,coefs!$A:$V,4,FALSE()))</f>
        <v/>
      </c>
      <c r="V11" s="1" t="str">
        <f aca="false">IF($C11="","",VLOOKUP($C11,coefs!$A:$V,5,FALSE()))</f>
        <v/>
      </c>
      <c r="W11" s="1" t="str">
        <f aca="false">IF($C11="","",VLOOKUP($C11,coefs!$A:$V,6,FALSE()))</f>
        <v/>
      </c>
      <c r="X11" s="1" t="str">
        <f aca="false">IF($C11="","",VLOOKUP($C11,coefs!$A:$V,7,FALSE()))</f>
        <v/>
      </c>
      <c r="Y11" s="1" t="str">
        <f aca="false">IF($C11="","",VLOOKUP($C11,coefs!$A:$V,8,FALSE()))</f>
        <v/>
      </c>
      <c r="Z11" s="1" t="str">
        <f aca="false">IF($C11="","",VLOOKUP($C11,coefs!$A:$V,9,FALSE()))</f>
        <v/>
      </c>
      <c r="AA11" s="1" t="str">
        <f aca="false">IF($C11="","",VLOOKUP($C11,coefs!$A:$V,10,FALSE()))</f>
        <v/>
      </c>
      <c r="AB11" s="1" t="str">
        <f aca="false">IF($C11="","",VLOOKUP($C11,coefs!$A:$V,11,FALSE()))</f>
        <v/>
      </c>
      <c r="AC11" s="1" t="str">
        <f aca="false">IF($C11="","",VLOOKUP($C11,coefs!$A:$V,12,FALSE()))</f>
        <v/>
      </c>
      <c r="AD11" s="1" t="str">
        <f aca="false">IF($C11="","",VLOOKUP($C11,coefs!$A:$V,13,FALSE()))</f>
        <v/>
      </c>
      <c r="AE11" s="1" t="str">
        <f aca="false">IF($C11="","",VLOOKUP($C11,coefs!$A:$V,14,FALSE()))</f>
        <v/>
      </c>
      <c r="AF11" s="1" t="str">
        <f aca="false">IF($C11="","",VLOOKUP($C11,coefs!$A:$V,15,FALSE()))</f>
        <v/>
      </c>
      <c r="AG11" s="1" t="str">
        <f aca="false">IF($C11="","",VLOOKUP($C11,coefs!$A:$V,16,FALSE()))</f>
        <v/>
      </c>
      <c r="AH11" s="1" t="str">
        <f aca="false">IF($C11="","",VLOOKUP($C11,coefs!$A:$V,17,FALSE()))</f>
        <v/>
      </c>
      <c r="AI11" s="1" t="str">
        <f aca="false">IF($C11="","",VLOOKUP($C11,coefs!$A:$V,18,FALSE()))</f>
        <v/>
      </c>
      <c r="AJ11" s="1" t="str">
        <f aca="false">IF($C11="","",VLOOKUP($C11,coefs!$A:$V,19,FALSE()))</f>
        <v/>
      </c>
      <c r="AK11" s="1" t="str">
        <f aca="false">IF($C11="","",VLOOKUP($C11,coefs!$A:$V,20,FALSE()))</f>
        <v/>
      </c>
      <c r="AL11" s="1" t="str">
        <f aca="false">IF($C11="","",VLOOKUP($C11,coefs!$A:$V,21,FALSE()))</f>
        <v/>
      </c>
      <c r="AM11" s="1" t="str">
        <f aca="false">IF($C11="","",VLOOKUP($C11,coefs!$A:$V,22,FALSE()))</f>
        <v/>
      </c>
    </row>
    <row r="12" customFormat="false" ht="15" hidden="false" customHeight="true" outlineLevel="0" collapsed="false">
      <c r="A12" s="14"/>
      <c r="B12" s="14"/>
      <c r="C12" s="14"/>
      <c r="D12" s="15"/>
      <c r="E12" s="16"/>
      <c r="F12" s="16"/>
      <c r="G12" s="16"/>
      <c r="H12" s="17"/>
      <c r="I12" s="16"/>
      <c r="J12" s="16"/>
      <c r="K12" s="17"/>
      <c r="L12" s="17"/>
      <c r="M12" s="15" t="str">
        <f aca="false">IFERROR(IF(OR($C12="",$D12=""),"",IF($C12="Pinus pinaster",S12/(1+T12*EXP(-U12*$D12)),IF($C12="Quercus pyrenaica",S12*EXP(T12*EXP(-U12*$D12)),1.3+EXP(S12*EXP(-T12*$D12^(-U12)))))),"")</f>
        <v/>
      </c>
      <c r="N12" s="15" t="str">
        <f aca="false">IFERROR(IF($C12="Pinus sylvestris",IF(OR($D12="",$E12="",$F12=""),"",1.3+EXP((V12+W12*$E12)*EXP(-(X12+Y12*$F12)*$D12^(-(Z12+AA12*$E12))))),IF($C12="Pinus nigra",IF(OR($D12="",$E12="",$F12="",$J12=""),"",1.3+EXP((V12+W12*$J12)*EXP(-(X12+Y12*$F12)*$D12^(-(Z12+AA12*$E12))))),IF($C12="Pinus pinaster",IF(OR($D12="",$E12="",$H12="",$F12=""),"",(V12+W12*$E12)/(1+(X12+Y12*$H12)*EXP(-(Z12+AA12*$F12)*$D12))),IF($C12="Quercus pyrenaica",IF(OR($D12="",$E12="",$G12="",$J12=""),"",(V12+W12*$E12)*EXP((X12+Y12*$G12)*EXP(-(Z12+AA12*$J12)*$D12))),"")))),"")</f>
        <v/>
      </c>
      <c r="O12" s="15" t="str">
        <f aca="false">IFERROR(IF($C12="Pinus sylvestris",IF(OR($D12="",$H12="",$I12="",$J12=""),"",1.3+EXP((AB12+AC12*$H12)*EXP(-(AD12+AE12*$I12)*$D12^(-(AF12+AG12*$J12))))),IF($C12="Pinus nigra",IF(OR($D12="",$H12="",$L12="",$I12=""),"",1.3+EXP((AB12+AC12*$H12)*EXP(-(AD12+AE12*$L12)*$D12^(-(AF12+AG12*$I12))))),IF($C12="Pinus pinaster",IF(OR($D12="",$I12="",$K12=""),"",(AB12+AC12*$I12)/(1+(AD12+AE12*$K12)*EXP(-(AF12+AG12*$I12)*$D12))),IF($C12="Quercus pyrenaica",IF(OR($D12="",$L12="",$J12="",$I12=""),"",(AB12+AC12*$L12)*EXP((AD12+AE12*$J12)*EXP(-(AF12+AG12*$I12)*$D12))),"")))),"")</f>
        <v/>
      </c>
      <c r="P12" s="15" t="str">
        <f aca="false">IFERROR(IF(OR($C12="",$D12="",$E12="",$G12=""),"",1.3+(AH12+AI12*$E12-AJ12*$G12)*EXP(-AK12/SQRT($D12))),"")</f>
        <v/>
      </c>
      <c r="Q12" s="15" t="str">
        <f aca="false">IFERROR(IF(OR($C12="",$D12=""),"",1.3+AL12*(LN(1+$D12))^AM12),"")</f>
        <v/>
      </c>
      <c r="S12" s="1" t="str">
        <f aca="false">IF($C12="","",VLOOKUP($C12,coefs!$A:$V,2,FALSE()))</f>
        <v/>
      </c>
      <c r="T12" s="1" t="str">
        <f aca="false">IF($C12="","",VLOOKUP($C12,coefs!$A:$V,3,FALSE()))</f>
        <v/>
      </c>
      <c r="U12" s="1" t="str">
        <f aca="false">IF($C12="","",VLOOKUP($C12,coefs!$A:$V,4,FALSE()))</f>
        <v/>
      </c>
      <c r="V12" s="1" t="str">
        <f aca="false">IF($C12="","",VLOOKUP($C12,coefs!$A:$V,5,FALSE()))</f>
        <v/>
      </c>
      <c r="W12" s="1" t="str">
        <f aca="false">IF($C12="","",VLOOKUP($C12,coefs!$A:$V,6,FALSE()))</f>
        <v/>
      </c>
      <c r="X12" s="1" t="str">
        <f aca="false">IF($C12="","",VLOOKUP($C12,coefs!$A:$V,7,FALSE()))</f>
        <v/>
      </c>
      <c r="Y12" s="1" t="str">
        <f aca="false">IF($C12="","",VLOOKUP($C12,coefs!$A:$V,8,FALSE()))</f>
        <v/>
      </c>
      <c r="Z12" s="1" t="str">
        <f aca="false">IF($C12="","",VLOOKUP($C12,coefs!$A:$V,9,FALSE()))</f>
        <v/>
      </c>
      <c r="AA12" s="1" t="str">
        <f aca="false">IF($C12="","",VLOOKUP($C12,coefs!$A:$V,10,FALSE()))</f>
        <v/>
      </c>
      <c r="AB12" s="1" t="str">
        <f aca="false">IF($C12="","",VLOOKUP($C12,coefs!$A:$V,11,FALSE()))</f>
        <v/>
      </c>
      <c r="AC12" s="1" t="str">
        <f aca="false">IF($C12="","",VLOOKUP($C12,coefs!$A:$V,12,FALSE()))</f>
        <v/>
      </c>
      <c r="AD12" s="1" t="str">
        <f aca="false">IF($C12="","",VLOOKUP($C12,coefs!$A:$V,13,FALSE()))</f>
        <v/>
      </c>
      <c r="AE12" s="1" t="str">
        <f aca="false">IF($C12="","",VLOOKUP($C12,coefs!$A:$V,14,FALSE()))</f>
        <v/>
      </c>
      <c r="AF12" s="1" t="str">
        <f aca="false">IF($C12="","",VLOOKUP($C12,coefs!$A:$V,15,FALSE()))</f>
        <v/>
      </c>
      <c r="AG12" s="1" t="str">
        <f aca="false">IF($C12="","",VLOOKUP($C12,coefs!$A:$V,16,FALSE()))</f>
        <v/>
      </c>
      <c r="AH12" s="1" t="str">
        <f aca="false">IF($C12="","",VLOOKUP($C12,coefs!$A:$V,17,FALSE()))</f>
        <v/>
      </c>
      <c r="AI12" s="1" t="str">
        <f aca="false">IF($C12="","",VLOOKUP($C12,coefs!$A:$V,18,FALSE()))</f>
        <v/>
      </c>
      <c r="AJ12" s="1" t="str">
        <f aca="false">IF($C12="","",VLOOKUP($C12,coefs!$A:$V,19,FALSE()))</f>
        <v/>
      </c>
      <c r="AK12" s="1" t="str">
        <f aca="false">IF($C12="","",VLOOKUP($C12,coefs!$A:$V,20,FALSE()))</f>
        <v/>
      </c>
      <c r="AL12" s="1" t="str">
        <f aca="false">IF($C12="","",VLOOKUP($C12,coefs!$A:$V,21,FALSE()))</f>
        <v/>
      </c>
      <c r="AM12" s="1" t="str">
        <f aca="false">IF($C12="","",VLOOKUP($C12,coefs!$A:$V,22,FALSE()))</f>
        <v/>
      </c>
    </row>
    <row r="13" customFormat="false" ht="15" hidden="false" customHeight="true" outlineLevel="0" collapsed="false">
      <c r="A13" s="14"/>
      <c r="B13" s="14"/>
      <c r="C13" s="14"/>
      <c r="D13" s="15"/>
      <c r="E13" s="16"/>
      <c r="F13" s="16"/>
      <c r="G13" s="16"/>
      <c r="H13" s="17"/>
      <c r="I13" s="16"/>
      <c r="J13" s="16"/>
      <c r="K13" s="17"/>
      <c r="L13" s="17"/>
      <c r="M13" s="15" t="str">
        <f aca="false">IFERROR(IF(OR($C13="",$D13=""),"",IF($C13="Pinus pinaster",S13/(1+T13*EXP(-U13*$D13)),IF($C13="Quercus pyrenaica",S13*EXP(T13*EXP(-U13*$D13)),1.3+EXP(S13*EXP(-T13*$D13^(-U13)))))),"")</f>
        <v/>
      </c>
      <c r="N13" s="15" t="str">
        <f aca="false">IFERROR(IF($C13="Pinus sylvestris",IF(OR($D13="",$E13="",$F13=""),"",1.3+EXP((V13+W13*$E13)*EXP(-(X13+Y13*$F13)*$D13^(-(Z13+AA13*$E13))))),IF($C13="Pinus nigra",IF(OR($D13="",$E13="",$F13="",$J13=""),"",1.3+EXP((V13+W13*$J13)*EXP(-(X13+Y13*$F13)*$D13^(-(Z13+AA13*$E13))))),IF($C13="Pinus pinaster",IF(OR($D13="",$E13="",$H13="",$F13=""),"",(V13+W13*$E13)/(1+(X13+Y13*$H13)*EXP(-(Z13+AA13*$F13)*$D13))),IF($C13="Quercus pyrenaica",IF(OR($D13="",$E13="",$G13="",$J13=""),"",(V13+W13*$E13)*EXP((X13+Y13*$G13)*EXP(-(Z13+AA13*$J13)*$D13))),"")))),"")</f>
        <v/>
      </c>
      <c r="O13" s="15" t="str">
        <f aca="false">IFERROR(IF($C13="Pinus sylvestris",IF(OR($D13="",$H13="",$I13="",$J13=""),"",1.3+EXP((AB13+AC13*$H13)*EXP(-(AD13+AE13*$I13)*$D13^(-(AF13+AG13*$J13))))),IF($C13="Pinus nigra",IF(OR($D13="",$H13="",$L13="",$I13=""),"",1.3+EXP((AB13+AC13*$H13)*EXP(-(AD13+AE13*$L13)*$D13^(-(AF13+AG13*$I13))))),IF($C13="Pinus pinaster",IF(OR($D13="",$I13="",$K13=""),"",(AB13+AC13*$I13)/(1+(AD13+AE13*$K13)*EXP(-(AF13+AG13*$I13)*$D13))),IF($C13="Quercus pyrenaica",IF(OR($D13="",$L13="",$J13="",$I13=""),"",(AB13+AC13*$L13)*EXP((AD13+AE13*$J13)*EXP(-(AF13+AG13*$I13)*$D13))),"")))),"")</f>
        <v/>
      </c>
      <c r="P13" s="15" t="str">
        <f aca="false">IFERROR(IF(OR($C13="",$D13="",$E13="",$G13=""),"",1.3+(AH13+AI13*$E13-AJ13*$G13)*EXP(-AK13/SQRT($D13))),"")</f>
        <v/>
      </c>
      <c r="Q13" s="15" t="str">
        <f aca="false">IFERROR(IF(OR($C13="",$D13=""),"",1.3+AL13*(LN(1+$D13))^AM13),"")</f>
        <v/>
      </c>
      <c r="S13" s="1" t="str">
        <f aca="false">IF($C13="","",VLOOKUP($C13,coefs!$A:$V,2,FALSE()))</f>
        <v/>
      </c>
      <c r="T13" s="1" t="str">
        <f aca="false">IF($C13="","",VLOOKUP($C13,coefs!$A:$V,3,FALSE()))</f>
        <v/>
      </c>
      <c r="U13" s="1" t="str">
        <f aca="false">IF($C13="","",VLOOKUP($C13,coefs!$A:$V,4,FALSE()))</f>
        <v/>
      </c>
      <c r="V13" s="1" t="str">
        <f aca="false">IF($C13="","",VLOOKUP($C13,coefs!$A:$V,5,FALSE()))</f>
        <v/>
      </c>
      <c r="W13" s="1" t="str">
        <f aca="false">IF($C13="","",VLOOKUP($C13,coefs!$A:$V,6,FALSE()))</f>
        <v/>
      </c>
      <c r="X13" s="1" t="str">
        <f aca="false">IF($C13="","",VLOOKUP($C13,coefs!$A:$V,7,FALSE()))</f>
        <v/>
      </c>
      <c r="Y13" s="1" t="str">
        <f aca="false">IF($C13="","",VLOOKUP($C13,coefs!$A:$V,8,FALSE()))</f>
        <v/>
      </c>
      <c r="Z13" s="1" t="str">
        <f aca="false">IF($C13="","",VLOOKUP($C13,coefs!$A:$V,9,FALSE()))</f>
        <v/>
      </c>
      <c r="AA13" s="1" t="str">
        <f aca="false">IF($C13="","",VLOOKUP($C13,coefs!$A:$V,10,FALSE()))</f>
        <v/>
      </c>
      <c r="AB13" s="1" t="str">
        <f aca="false">IF($C13="","",VLOOKUP($C13,coefs!$A:$V,11,FALSE()))</f>
        <v/>
      </c>
      <c r="AC13" s="1" t="str">
        <f aca="false">IF($C13="","",VLOOKUP($C13,coefs!$A:$V,12,FALSE()))</f>
        <v/>
      </c>
      <c r="AD13" s="1" t="str">
        <f aca="false">IF($C13="","",VLOOKUP($C13,coefs!$A:$V,13,FALSE()))</f>
        <v/>
      </c>
      <c r="AE13" s="1" t="str">
        <f aca="false">IF($C13="","",VLOOKUP($C13,coefs!$A:$V,14,FALSE()))</f>
        <v/>
      </c>
      <c r="AF13" s="1" t="str">
        <f aca="false">IF($C13="","",VLOOKUP($C13,coefs!$A:$V,15,FALSE()))</f>
        <v/>
      </c>
      <c r="AG13" s="1" t="str">
        <f aca="false">IF($C13="","",VLOOKUP($C13,coefs!$A:$V,16,FALSE()))</f>
        <v/>
      </c>
      <c r="AH13" s="1" t="str">
        <f aca="false">IF($C13="","",VLOOKUP($C13,coefs!$A:$V,17,FALSE()))</f>
        <v/>
      </c>
      <c r="AI13" s="1" t="str">
        <f aca="false">IF($C13="","",VLOOKUP($C13,coefs!$A:$V,18,FALSE()))</f>
        <v/>
      </c>
      <c r="AJ13" s="1" t="str">
        <f aca="false">IF($C13="","",VLOOKUP($C13,coefs!$A:$V,19,FALSE()))</f>
        <v/>
      </c>
      <c r="AK13" s="1" t="str">
        <f aca="false">IF($C13="","",VLOOKUP($C13,coefs!$A:$V,20,FALSE()))</f>
        <v/>
      </c>
      <c r="AL13" s="1" t="str">
        <f aca="false">IF($C13="","",VLOOKUP($C13,coefs!$A:$V,21,FALSE()))</f>
        <v/>
      </c>
      <c r="AM13" s="1" t="str">
        <f aca="false">IF($C13="","",VLOOKUP($C13,coefs!$A:$V,22,FALSE()))</f>
        <v/>
      </c>
    </row>
    <row r="14" customFormat="false" ht="15" hidden="false" customHeight="true" outlineLevel="0" collapsed="false">
      <c r="A14" s="14"/>
      <c r="B14" s="14"/>
      <c r="C14" s="14"/>
      <c r="D14" s="15"/>
      <c r="E14" s="16"/>
      <c r="F14" s="16"/>
      <c r="G14" s="16"/>
      <c r="H14" s="17"/>
      <c r="I14" s="16"/>
      <c r="J14" s="16"/>
      <c r="K14" s="17"/>
      <c r="L14" s="17"/>
      <c r="M14" s="15" t="str">
        <f aca="false">IFERROR(IF(OR($C14="",$D14=""),"",IF($C14="Pinus pinaster",S14/(1+T14*EXP(-U14*$D14)),IF($C14="Quercus pyrenaica",S14*EXP(T14*EXP(-U14*$D14)),1.3+EXP(S14*EXP(-T14*$D14^(-U14)))))),"")</f>
        <v/>
      </c>
      <c r="N14" s="15" t="str">
        <f aca="false">IFERROR(IF($C14="Pinus sylvestris",IF(OR($D14="",$E14="",$F14=""),"",1.3+EXP((V14+W14*$E14)*EXP(-(X14+Y14*$F14)*$D14^(-(Z14+AA14*$E14))))),IF($C14="Pinus nigra",IF(OR($D14="",$E14="",$F14="",$J14=""),"",1.3+EXP((V14+W14*$J14)*EXP(-(X14+Y14*$F14)*$D14^(-(Z14+AA14*$E14))))),IF($C14="Pinus pinaster",IF(OR($D14="",$E14="",$H14="",$F14=""),"",(V14+W14*$E14)/(1+(X14+Y14*$H14)*EXP(-(Z14+AA14*$F14)*$D14))),IF($C14="Quercus pyrenaica",IF(OR($D14="",$E14="",$G14="",$J14=""),"",(V14+W14*$E14)*EXP((X14+Y14*$G14)*EXP(-(Z14+AA14*$J14)*$D14))),"")))),"")</f>
        <v/>
      </c>
      <c r="O14" s="15" t="str">
        <f aca="false">IFERROR(IF($C14="Pinus sylvestris",IF(OR($D14="",$H14="",$I14="",$J14=""),"",1.3+EXP((AB14+AC14*$H14)*EXP(-(AD14+AE14*$I14)*$D14^(-(AF14+AG14*$J14))))),IF($C14="Pinus nigra",IF(OR($D14="",$H14="",$L14="",$I14=""),"",1.3+EXP((AB14+AC14*$H14)*EXP(-(AD14+AE14*$L14)*$D14^(-(AF14+AG14*$I14))))),IF($C14="Pinus pinaster",IF(OR($D14="",$I14="",$K14=""),"",(AB14+AC14*$I14)/(1+(AD14+AE14*$K14)*EXP(-(AF14+AG14*$I14)*$D14))),IF($C14="Quercus pyrenaica",IF(OR($D14="",$L14="",$J14="",$I14=""),"",(AB14+AC14*$L14)*EXP((AD14+AE14*$J14)*EXP(-(AF14+AG14*$I14)*$D14))),"")))),"")</f>
        <v/>
      </c>
      <c r="P14" s="15" t="str">
        <f aca="false">IFERROR(IF(OR($C14="",$D14="",$E14="",$G14=""),"",1.3+(AH14+AI14*$E14-AJ14*$G14)*EXP(-AK14/SQRT($D14))),"")</f>
        <v/>
      </c>
      <c r="Q14" s="15" t="str">
        <f aca="false">IFERROR(IF(OR($C14="",$D14=""),"",1.3+AL14*(LN(1+$D14))^AM14),"")</f>
        <v/>
      </c>
      <c r="S14" s="1" t="str">
        <f aca="false">IF($C14="","",VLOOKUP($C14,coefs!$A:$V,2,FALSE()))</f>
        <v/>
      </c>
      <c r="T14" s="1" t="str">
        <f aca="false">IF($C14="","",VLOOKUP($C14,coefs!$A:$V,3,FALSE()))</f>
        <v/>
      </c>
      <c r="U14" s="1" t="str">
        <f aca="false">IF($C14="","",VLOOKUP($C14,coefs!$A:$V,4,FALSE()))</f>
        <v/>
      </c>
      <c r="V14" s="1" t="str">
        <f aca="false">IF($C14="","",VLOOKUP($C14,coefs!$A:$V,5,FALSE()))</f>
        <v/>
      </c>
      <c r="W14" s="1" t="str">
        <f aca="false">IF($C14="","",VLOOKUP($C14,coefs!$A:$V,6,FALSE()))</f>
        <v/>
      </c>
      <c r="X14" s="1" t="str">
        <f aca="false">IF($C14="","",VLOOKUP($C14,coefs!$A:$V,7,FALSE()))</f>
        <v/>
      </c>
      <c r="Y14" s="1" t="str">
        <f aca="false">IF($C14="","",VLOOKUP($C14,coefs!$A:$V,8,FALSE()))</f>
        <v/>
      </c>
      <c r="Z14" s="1" t="str">
        <f aca="false">IF($C14="","",VLOOKUP($C14,coefs!$A:$V,9,FALSE()))</f>
        <v/>
      </c>
      <c r="AA14" s="1" t="str">
        <f aca="false">IF($C14="","",VLOOKUP($C14,coefs!$A:$V,10,FALSE()))</f>
        <v/>
      </c>
      <c r="AB14" s="1" t="str">
        <f aca="false">IF($C14="","",VLOOKUP($C14,coefs!$A:$V,11,FALSE()))</f>
        <v/>
      </c>
      <c r="AC14" s="1" t="str">
        <f aca="false">IF($C14="","",VLOOKUP($C14,coefs!$A:$V,12,FALSE()))</f>
        <v/>
      </c>
      <c r="AD14" s="1" t="str">
        <f aca="false">IF($C14="","",VLOOKUP($C14,coefs!$A:$V,13,FALSE()))</f>
        <v/>
      </c>
      <c r="AE14" s="1" t="str">
        <f aca="false">IF($C14="","",VLOOKUP($C14,coefs!$A:$V,14,FALSE()))</f>
        <v/>
      </c>
      <c r="AF14" s="1" t="str">
        <f aca="false">IF($C14="","",VLOOKUP($C14,coefs!$A:$V,15,FALSE()))</f>
        <v/>
      </c>
      <c r="AG14" s="1" t="str">
        <f aca="false">IF($C14="","",VLOOKUP($C14,coefs!$A:$V,16,FALSE()))</f>
        <v/>
      </c>
      <c r="AH14" s="1" t="str">
        <f aca="false">IF($C14="","",VLOOKUP($C14,coefs!$A:$V,17,FALSE()))</f>
        <v/>
      </c>
      <c r="AI14" s="1" t="str">
        <f aca="false">IF($C14="","",VLOOKUP($C14,coefs!$A:$V,18,FALSE()))</f>
        <v/>
      </c>
      <c r="AJ14" s="1" t="str">
        <f aca="false">IF($C14="","",VLOOKUP($C14,coefs!$A:$V,19,FALSE()))</f>
        <v/>
      </c>
      <c r="AK14" s="1" t="str">
        <f aca="false">IF($C14="","",VLOOKUP($C14,coefs!$A:$V,20,FALSE()))</f>
        <v/>
      </c>
      <c r="AL14" s="1" t="str">
        <f aca="false">IF($C14="","",VLOOKUP($C14,coefs!$A:$V,21,FALSE()))</f>
        <v/>
      </c>
      <c r="AM14" s="1" t="str">
        <f aca="false">IF($C14="","",VLOOKUP($C14,coefs!$A:$V,22,FALSE()))</f>
        <v/>
      </c>
    </row>
    <row r="15" customFormat="false" ht="15" hidden="false" customHeight="true" outlineLevel="0" collapsed="false">
      <c r="A15" s="14"/>
      <c r="B15" s="14"/>
      <c r="C15" s="14"/>
      <c r="D15" s="15"/>
      <c r="E15" s="16"/>
      <c r="F15" s="16"/>
      <c r="G15" s="16"/>
      <c r="H15" s="17"/>
      <c r="I15" s="16"/>
      <c r="J15" s="16"/>
      <c r="K15" s="17"/>
      <c r="L15" s="17"/>
      <c r="M15" s="15" t="str">
        <f aca="false">IFERROR(IF(OR($C15="",$D15=""),"",IF($C15="Pinus pinaster",S15/(1+T15*EXP(-U15*$D15)),IF($C15="Quercus pyrenaica",S15*EXP(T15*EXP(-U15*$D15)),1.3+EXP(S15*EXP(-T15*$D15^(-U15)))))),"")</f>
        <v/>
      </c>
      <c r="N15" s="15" t="str">
        <f aca="false">IFERROR(IF($C15="Pinus sylvestris",IF(OR($D15="",$E15="",$F15=""),"",1.3+EXP((V15+W15*$E15)*EXP(-(X15+Y15*$F15)*$D15^(-(Z15+AA15*$E15))))),IF($C15="Pinus nigra",IF(OR($D15="",$E15="",$F15="",$J15=""),"",1.3+EXP((V15+W15*$J15)*EXP(-(X15+Y15*$F15)*$D15^(-(Z15+AA15*$E15))))),IF($C15="Pinus pinaster",IF(OR($D15="",$E15="",$H15="",$F15=""),"",(V15+W15*$E15)/(1+(X15+Y15*$H15)*EXP(-(Z15+AA15*$F15)*$D15))),IF($C15="Quercus pyrenaica",IF(OR($D15="",$E15="",$G15="",$J15=""),"",(V15+W15*$E15)*EXP((X15+Y15*$G15)*EXP(-(Z15+AA15*$J15)*$D15))),"")))),"")</f>
        <v/>
      </c>
      <c r="O15" s="15" t="str">
        <f aca="false">IFERROR(IF($C15="Pinus sylvestris",IF(OR($D15="",$H15="",$I15="",$J15=""),"",1.3+EXP((AB15+AC15*$H15)*EXP(-(AD15+AE15*$I15)*$D15^(-(AF15+AG15*$J15))))),IF($C15="Pinus nigra",IF(OR($D15="",$H15="",$L15="",$I15=""),"",1.3+EXP((AB15+AC15*$H15)*EXP(-(AD15+AE15*$L15)*$D15^(-(AF15+AG15*$I15))))),IF($C15="Pinus pinaster",IF(OR($D15="",$I15="",$K15=""),"",(AB15+AC15*$I15)/(1+(AD15+AE15*$K15)*EXP(-(AF15+AG15*$I15)*$D15))),IF($C15="Quercus pyrenaica",IF(OR($D15="",$L15="",$J15="",$I15=""),"",(AB15+AC15*$L15)*EXP((AD15+AE15*$J15)*EXP(-(AF15+AG15*$I15)*$D15))),"")))),"")</f>
        <v/>
      </c>
      <c r="P15" s="15" t="str">
        <f aca="false">IFERROR(IF(OR($C15="",$D15="",$E15="",$G15=""),"",1.3+(AH15+AI15*$E15-AJ15*$G15)*EXP(-AK15/SQRT($D15))),"")</f>
        <v/>
      </c>
      <c r="Q15" s="15" t="str">
        <f aca="false">IFERROR(IF(OR($C15="",$D15=""),"",1.3+AL15*(LN(1+$D15))^AM15),"")</f>
        <v/>
      </c>
      <c r="S15" s="1" t="str">
        <f aca="false">IF($C15="","",VLOOKUP($C15,coefs!$A:$V,2,FALSE()))</f>
        <v/>
      </c>
      <c r="T15" s="1" t="str">
        <f aca="false">IF($C15="","",VLOOKUP($C15,coefs!$A:$V,3,FALSE()))</f>
        <v/>
      </c>
      <c r="U15" s="1" t="str">
        <f aca="false">IF($C15="","",VLOOKUP($C15,coefs!$A:$V,4,FALSE()))</f>
        <v/>
      </c>
      <c r="V15" s="1" t="str">
        <f aca="false">IF($C15="","",VLOOKUP($C15,coefs!$A:$V,5,FALSE()))</f>
        <v/>
      </c>
      <c r="W15" s="1" t="str">
        <f aca="false">IF($C15="","",VLOOKUP($C15,coefs!$A:$V,6,FALSE()))</f>
        <v/>
      </c>
      <c r="X15" s="1" t="str">
        <f aca="false">IF($C15="","",VLOOKUP($C15,coefs!$A:$V,7,FALSE()))</f>
        <v/>
      </c>
      <c r="Y15" s="1" t="str">
        <f aca="false">IF($C15="","",VLOOKUP($C15,coefs!$A:$V,8,FALSE()))</f>
        <v/>
      </c>
      <c r="Z15" s="1" t="str">
        <f aca="false">IF($C15="","",VLOOKUP($C15,coefs!$A:$V,9,FALSE()))</f>
        <v/>
      </c>
      <c r="AA15" s="1" t="str">
        <f aca="false">IF($C15="","",VLOOKUP($C15,coefs!$A:$V,10,FALSE()))</f>
        <v/>
      </c>
      <c r="AB15" s="1" t="str">
        <f aca="false">IF($C15="","",VLOOKUP($C15,coefs!$A:$V,11,FALSE()))</f>
        <v/>
      </c>
      <c r="AC15" s="1" t="str">
        <f aca="false">IF($C15="","",VLOOKUP($C15,coefs!$A:$V,12,FALSE()))</f>
        <v/>
      </c>
      <c r="AD15" s="1" t="str">
        <f aca="false">IF($C15="","",VLOOKUP($C15,coefs!$A:$V,13,FALSE()))</f>
        <v/>
      </c>
      <c r="AE15" s="1" t="str">
        <f aca="false">IF($C15="","",VLOOKUP($C15,coefs!$A:$V,14,FALSE()))</f>
        <v/>
      </c>
      <c r="AF15" s="1" t="str">
        <f aca="false">IF($C15="","",VLOOKUP($C15,coefs!$A:$V,15,FALSE()))</f>
        <v/>
      </c>
      <c r="AG15" s="1" t="str">
        <f aca="false">IF($C15="","",VLOOKUP($C15,coefs!$A:$V,16,FALSE()))</f>
        <v/>
      </c>
      <c r="AH15" s="1" t="str">
        <f aca="false">IF($C15="","",VLOOKUP($C15,coefs!$A:$V,17,FALSE()))</f>
        <v/>
      </c>
      <c r="AI15" s="1" t="str">
        <f aca="false">IF($C15="","",VLOOKUP($C15,coefs!$A:$V,18,FALSE()))</f>
        <v/>
      </c>
      <c r="AJ15" s="1" t="str">
        <f aca="false">IF($C15="","",VLOOKUP($C15,coefs!$A:$V,19,FALSE()))</f>
        <v/>
      </c>
      <c r="AK15" s="1" t="str">
        <f aca="false">IF($C15="","",VLOOKUP($C15,coefs!$A:$V,20,FALSE()))</f>
        <v/>
      </c>
      <c r="AL15" s="1" t="str">
        <f aca="false">IF($C15="","",VLOOKUP($C15,coefs!$A:$V,21,FALSE()))</f>
        <v/>
      </c>
      <c r="AM15" s="1" t="str">
        <f aca="false">IF($C15="","",VLOOKUP($C15,coefs!$A:$V,22,FALSE()))</f>
        <v/>
      </c>
    </row>
    <row r="16" customFormat="false" ht="15" hidden="false" customHeight="true" outlineLevel="0" collapsed="false">
      <c r="A16" s="14"/>
      <c r="B16" s="14"/>
      <c r="C16" s="14"/>
      <c r="D16" s="15"/>
      <c r="E16" s="16"/>
      <c r="F16" s="16"/>
      <c r="G16" s="16"/>
      <c r="H16" s="17"/>
      <c r="I16" s="16"/>
      <c r="J16" s="16"/>
      <c r="K16" s="17"/>
      <c r="L16" s="17"/>
      <c r="M16" s="15" t="str">
        <f aca="false">IFERROR(IF(OR($C16="",$D16=""),"",IF($C16="Pinus pinaster",S16/(1+T16*EXP(-U16*$D16)),IF($C16="Quercus pyrenaica",S16*EXP(T16*EXP(-U16*$D16)),1.3+EXP(S16*EXP(-T16*$D16^(-U16)))))),"")</f>
        <v/>
      </c>
      <c r="N16" s="15" t="str">
        <f aca="false">IFERROR(IF($C16="Pinus sylvestris",IF(OR($D16="",$E16="",$F16=""),"",1.3+EXP((V16+W16*$E16)*EXP(-(X16+Y16*$F16)*$D16^(-(Z16+AA16*$E16))))),IF($C16="Pinus nigra",IF(OR($D16="",$E16="",$F16="",$J16=""),"",1.3+EXP((V16+W16*$J16)*EXP(-(X16+Y16*$F16)*$D16^(-(Z16+AA16*$E16))))),IF($C16="Pinus pinaster",IF(OR($D16="",$E16="",$H16="",$F16=""),"",(V16+W16*$E16)/(1+(X16+Y16*$H16)*EXP(-(Z16+AA16*$F16)*$D16))),IF($C16="Quercus pyrenaica",IF(OR($D16="",$E16="",$G16="",$J16=""),"",(V16+W16*$E16)*EXP((X16+Y16*$G16)*EXP(-(Z16+AA16*$J16)*$D16))),"")))),"")</f>
        <v/>
      </c>
      <c r="O16" s="15" t="str">
        <f aca="false">IFERROR(IF($C16="Pinus sylvestris",IF(OR($D16="",$H16="",$I16="",$J16=""),"",1.3+EXP((AB16+AC16*$H16)*EXP(-(AD16+AE16*$I16)*$D16^(-(AF16+AG16*$J16))))),IF($C16="Pinus nigra",IF(OR($D16="",$H16="",$L16="",$I16=""),"",1.3+EXP((AB16+AC16*$H16)*EXP(-(AD16+AE16*$L16)*$D16^(-(AF16+AG16*$I16))))),IF($C16="Pinus pinaster",IF(OR($D16="",$I16="",$K16=""),"",(AB16+AC16*$I16)/(1+(AD16+AE16*$K16)*EXP(-(AF16+AG16*$I16)*$D16))),IF($C16="Quercus pyrenaica",IF(OR($D16="",$L16="",$J16="",$I16=""),"",(AB16+AC16*$L16)*EXP((AD16+AE16*$J16)*EXP(-(AF16+AG16*$I16)*$D16))),"")))),"")</f>
        <v/>
      </c>
      <c r="P16" s="15" t="str">
        <f aca="false">IFERROR(IF(OR($C16="",$D16="",$E16="",$G16=""),"",1.3+(AH16+AI16*$E16-AJ16*$G16)*EXP(-AK16/SQRT($D16))),"")</f>
        <v/>
      </c>
      <c r="Q16" s="15" t="str">
        <f aca="false">IFERROR(IF(OR($C16="",$D16=""),"",1.3+AL16*(LN(1+$D16))^AM16),"")</f>
        <v/>
      </c>
      <c r="S16" s="1" t="str">
        <f aca="false">IF($C16="","",VLOOKUP($C16,coefs!$A:$V,2,FALSE()))</f>
        <v/>
      </c>
      <c r="T16" s="1" t="str">
        <f aca="false">IF($C16="","",VLOOKUP($C16,coefs!$A:$V,3,FALSE()))</f>
        <v/>
      </c>
      <c r="U16" s="1" t="str">
        <f aca="false">IF($C16="","",VLOOKUP($C16,coefs!$A:$V,4,FALSE()))</f>
        <v/>
      </c>
      <c r="V16" s="1" t="str">
        <f aca="false">IF($C16="","",VLOOKUP($C16,coefs!$A:$V,5,FALSE()))</f>
        <v/>
      </c>
      <c r="W16" s="1" t="str">
        <f aca="false">IF($C16="","",VLOOKUP($C16,coefs!$A:$V,6,FALSE()))</f>
        <v/>
      </c>
      <c r="X16" s="1" t="str">
        <f aca="false">IF($C16="","",VLOOKUP($C16,coefs!$A:$V,7,FALSE()))</f>
        <v/>
      </c>
      <c r="Y16" s="1" t="str">
        <f aca="false">IF($C16="","",VLOOKUP($C16,coefs!$A:$V,8,FALSE()))</f>
        <v/>
      </c>
      <c r="Z16" s="1" t="str">
        <f aca="false">IF($C16="","",VLOOKUP($C16,coefs!$A:$V,9,FALSE()))</f>
        <v/>
      </c>
      <c r="AA16" s="1" t="str">
        <f aca="false">IF($C16="","",VLOOKUP($C16,coefs!$A:$V,10,FALSE()))</f>
        <v/>
      </c>
      <c r="AB16" s="1" t="str">
        <f aca="false">IF($C16="","",VLOOKUP($C16,coefs!$A:$V,11,FALSE()))</f>
        <v/>
      </c>
      <c r="AC16" s="1" t="str">
        <f aca="false">IF($C16="","",VLOOKUP($C16,coefs!$A:$V,12,FALSE()))</f>
        <v/>
      </c>
      <c r="AD16" s="1" t="str">
        <f aca="false">IF($C16="","",VLOOKUP($C16,coefs!$A:$V,13,FALSE()))</f>
        <v/>
      </c>
      <c r="AE16" s="1" t="str">
        <f aca="false">IF($C16="","",VLOOKUP($C16,coefs!$A:$V,14,FALSE()))</f>
        <v/>
      </c>
      <c r="AF16" s="1" t="str">
        <f aca="false">IF($C16="","",VLOOKUP($C16,coefs!$A:$V,15,FALSE()))</f>
        <v/>
      </c>
      <c r="AG16" s="1" t="str">
        <f aca="false">IF($C16="","",VLOOKUP($C16,coefs!$A:$V,16,FALSE()))</f>
        <v/>
      </c>
      <c r="AH16" s="1" t="str">
        <f aca="false">IF($C16="","",VLOOKUP($C16,coefs!$A:$V,17,FALSE()))</f>
        <v/>
      </c>
      <c r="AI16" s="1" t="str">
        <f aca="false">IF($C16="","",VLOOKUP($C16,coefs!$A:$V,18,FALSE()))</f>
        <v/>
      </c>
      <c r="AJ16" s="1" t="str">
        <f aca="false">IF($C16="","",VLOOKUP($C16,coefs!$A:$V,19,FALSE()))</f>
        <v/>
      </c>
      <c r="AK16" s="1" t="str">
        <f aca="false">IF($C16="","",VLOOKUP($C16,coefs!$A:$V,20,FALSE()))</f>
        <v/>
      </c>
      <c r="AL16" s="1" t="str">
        <f aca="false">IF($C16="","",VLOOKUP($C16,coefs!$A:$V,21,FALSE()))</f>
        <v/>
      </c>
      <c r="AM16" s="1" t="str">
        <f aca="false">IF($C16="","",VLOOKUP($C16,coefs!$A:$V,22,FALSE()))</f>
        <v/>
      </c>
    </row>
    <row r="17" customFormat="false" ht="15" hidden="false" customHeight="true" outlineLevel="0" collapsed="false">
      <c r="A17" s="14"/>
      <c r="B17" s="14"/>
      <c r="C17" s="14"/>
      <c r="D17" s="15"/>
      <c r="E17" s="16"/>
      <c r="F17" s="16"/>
      <c r="G17" s="16"/>
      <c r="H17" s="17"/>
      <c r="I17" s="16"/>
      <c r="J17" s="16"/>
      <c r="K17" s="17"/>
      <c r="L17" s="17"/>
      <c r="M17" s="15" t="str">
        <f aca="false">IFERROR(IF(OR($C17="",$D17=""),"",IF($C17="Pinus pinaster",S17/(1+T17*EXP(-U17*$D17)),IF($C17="Quercus pyrenaica",S17*EXP(T17*EXP(-U17*$D17)),1.3+EXP(S17*EXP(-T17*$D17^(-U17)))))),"")</f>
        <v/>
      </c>
      <c r="N17" s="15" t="str">
        <f aca="false">IFERROR(IF($C17="Pinus sylvestris",IF(OR($D17="",$E17="",$F17=""),"",1.3+EXP((V17+W17*$E17)*EXP(-(X17+Y17*$F17)*$D17^(-(Z17+AA17*$E17))))),IF($C17="Pinus nigra",IF(OR($D17="",$E17="",$F17="",$J17=""),"",1.3+EXP((V17+W17*$J17)*EXP(-(X17+Y17*$F17)*$D17^(-(Z17+AA17*$E17))))),IF($C17="Pinus pinaster",IF(OR($D17="",$E17="",$H17="",$F17=""),"",(V17+W17*$E17)/(1+(X17+Y17*$H17)*EXP(-(Z17+AA17*$F17)*$D17))),IF($C17="Quercus pyrenaica",IF(OR($D17="",$E17="",$G17="",$J17=""),"",(V17+W17*$E17)*EXP((X17+Y17*$G17)*EXP(-(Z17+AA17*$J17)*$D17))),"")))),"")</f>
        <v/>
      </c>
      <c r="O17" s="15" t="str">
        <f aca="false">IFERROR(IF($C17="Pinus sylvestris",IF(OR($D17="",$H17="",$I17="",$J17=""),"",1.3+EXP((AB17+AC17*$H17)*EXP(-(AD17+AE17*$I17)*$D17^(-(AF17+AG17*$J17))))),IF($C17="Pinus nigra",IF(OR($D17="",$H17="",$L17="",$I17=""),"",1.3+EXP((AB17+AC17*$H17)*EXP(-(AD17+AE17*$L17)*$D17^(-(AF17+AG17*$I17))))),IF($C17="Pinus pinaster",IF(OR($D17="",$I17="",$K17=""),"",(AB17+AC17*$I17)/(1+(AD17+AE17*$K17)*EXP(-(AF17+AG17*$I17)*$D17))),IF($C17="Quercus pyrenaica",IF(OR($D17="",$L17="",$J17="",$I17=""),"",(AB17+AC17*$L17)*EXP((AD17+AE17*$J17)*EXP(-(AF17+AG17*$I17)*$D17))),"")))),"")</f>
        <v/>
      </c>
      <c r="P17" s="15" t="str">
        <f aca="false">IFERROR(IF(OR($C17="",$D17="",$E17="",$G17=""),"",1.3+(AH17+AI17*$E17-AJ17*$G17)*EXP(-AK17/SQRT($D17))),"")</f>
        <v/>
      </c>
      <c r="Q17" s="15" t="str">
        <f aca="false">IFERROR(IF(OR($C17="",$D17=""),"",1.3+AL17*(LN(1+$D17))^AM17),"")</f>
        <v/>
      </c>
      <c r="S17" s="1" t="str">
        <f aca="false">IF($C17="","",VLOOKUP($C17,coefs!$A:$V,2,FALSE()))</f>
        <v/>
      </c>
      <c r="T17" s="1" t="str">
        <f aca="false">IF($C17="","",VLOOKUP($C17,coefs!$A:$V,3,FALSE()))</f>
        <v/>
      </c>
      <c r="U17" s="1" t="str">
        <f aca="false">IF($C17="","",VLOOKUP($C17,coefs!$A:$V,4,FALSE()))</f>
        <v/>
      </c>
      <c r="V17" s="1" t="str">
        <f aca="false">IF($C17="","",VLOOKUP($C17,coefs!$A:$V,5,FALSE()))</f>
        <v/>
      </c>
      <c r="W17" s="1" t="str">
        <f aca="false">IF($C17="","",VLOOKUP($C17,coefs!$A:$V,6,FALSE()))</f>
        <v/>
      </c>
      <c r="X17" s="1" t="str">
        <f aca="false">IF($C17="","",VLOOKUP($C17,coefs!$A:$V,7,FALSE()))</f>
        <v/>
      </c>
      <c r="Y17" s="1" t="str">
        <f aca="false">IF($C17="","",VLOOKUP($C17,coefs!$A:$V,8,FALSE()))</f>
        <v/>
      </c>
      <c r="Z17" s="1" t="str">
        <f aca="false">IF($C17="","",VLOOKUP($C17,coefs!$A:$V,9,FALSE()))</f>
        <v/>
      </c>
      <c r="AA17" s="1" t="str">
        <f aca="false">IF($C17="","",VLOOKUP($C17,coefs!$A:$V,10,FALSE()))</f>
        <v/>
      </c>
      <c r="AB17" s="1" t="str">
        <f aca="false">IF($C17="","",VLOOKUP($C17,coefs!$A:$V,11,FALSE()))</f>
        <v/>
      </c>
      <c r="AC17" s="1" t="str">
        <f aca="false">IF($C17="","",VLOOKUP($C17,coefs!$A:$V,12,FALSE()))</f>
        <v/>
      </c>
      <c r="AD17" s="1" t="str">
        <f aca="false">IF($C17="","",VLOOKUP($C17,coefs!$A:$V,13,FALSE()))</f>
        <v/>
      </c>
      <c r="AE17" s="1" t="str">
        <f aca="false">IF($C17="","",VLOOKUP($C17,coefs!$A:$V,14,FALSE()))</f>
        <v/>
      </c>
      <c r="AF17" s="1" t="str">
        <f aca="false">IF($C17="","",VLOOKUP($C17,coefs!$A:$V,15,FALSE()))</f>
        <v/>
      </c>
      <c r="AG17" s="1" t="str">
        <f aca="false">IF($C17="","",VLOOKUP($C17,coefs!$A:$V,16,FALSE()))</f>
        <v/>
      </c>
      <c r="AH17" s="1" t="str">
        <f aca="false">IF($C17="","",VLOOKUP($C17,coefs!$A:$V,17,FALSE()))</f>
        <v/>
      </c>
      <c r="AI17" s="1" t="str">
        <f aca="false">IF($C17="","",VLOOKUP($C17,coefs!$A:$V,18,FALSE()))</f>
        <v/>
      </c>
      <c r="AJ17" s="1" t="str">
        <f aca="false">IF($C17="","",VLOOKUP($C17,coefs!$A:$V,19,FALSE()))</f>
        <v/>
      </c>
      <c r="AK17" s="1" t="str">
        <f aca="false">IF($C17="","",VLOOKUP($C17,coefs!$A:$V,20,FALSE()))</f>
        <v/>
      </c>
      <c r="AL17" s="1" t="str">
        <f aca="false">IF($C17="","",VLOOKUP($C17,coefs!$A:$V,21,FALSE()))</f>
        <v/>
      </c>
      <c r="AM17" s="1" t="str">
        <f aca="false">IF($C17="","",VLOOKUP($C17,coefs!$A:$V,22,FALSE()))</f>
        <v/>
      </c>
    </row>
    <row r="18" customFormat="false" ht="15" hidden="false" customHeight="true" outlineLevel="0" collapsed="false">
      <c r="A18" s="14"/>
      <c r="B18" s="14"/>
      <c r="C18" s="14"/>
      <c r="D18" s="15"/>
      <c r="E18" s="16"/>
      <c r="F18" s="16"/>
      <c r="G18" s="16"/>
      <c r="H18" s="17"/>
      <c r="I18" s="16"/>
      <c r="J18" s="16"/>
      <c r="K18" s="17"/>
      <c r="L18" s="17"/>
      <c r="M18" s="15" t="str">
        <f aca="false">IFERROR(IF(OR($C18="",$D18=""),"",IF($C18="Pinus pinaster",S18/(1+T18*EXP(-U18*$D18)),IF($C18="Quercus pyrenaica",S18*EXP(T18*EXP(-U18*$D18)),1.3+EXP(S18*EXP(-T18*$D18^(-U18)))))),"")</f>
        <v/>
      </c>
      <c r="N18" s="15" t="str">
        <f aca="false">IFERROR(IF($C18="Pinus sylvestris",IF(OR($D18="",$E18="",$F18=""),"",1.3+EXP((V18+W18*$E18)*EXP(-(X18+Y18*$F18)*$D18^(-(Z18+AA18*$E18))))),IF($C18="Pinus nigra",IF(OR($D18="",$E18="",$F18="",$J18=""),"",1.3+EXP((V18+W18*$J18)*EXP(-(X18+Y18*$F18)*$D18^(-(Z18+AA18*$E18))))),IF($C18="Pinus pinaster",IF(OR($D18="",$E18="",$H18="",$F18=""),"",(V18+W18*$E18)/(1+(X18+Y18*$H18)*EXP(-(Z18+AA18*$F18)*$D18))),IF($C18="Quercus pyrenaica",IF(OR($D18="",$E18="",$G18="",$J18=""),"",(V18+W18*$E18)*EXP((X18+Y18*$G18)*EXP(-(Z18+AA18*$J18)*$D18))),"")))),"")</f>
        <v/>
      </c>
      <c r="O18" s="15" t="str">
        <f aca="false">IFERROR(IF($C18="Pinus sylvestris",IF(OR($D18="",$H18="",$I18="",$J18=""),"",1.3+EXP((AB18+AC18*$H18)*EXP(-(AD18+AE18*$I18)*$D18^(-(AF18+AG18*$J18))))),IF($C18="Pinus nigra",IF(OR($D18="",$H18="",$L18="",$I18=""),"",1.3+EXP((AB18+AC18*$H18)*EXP(-(AD18+AE18*$L18)*$D18^(-(AF18+AG18*$I18))))),IF($C18="Pinus pinaster",IF(OR($D18="",$I18="",$K18=""),"",(AB18+AC18*$I18)/(1+(AD18+AE18*$K18)*EXP(-(AF18+AG18*$I18)*$D18))),IF($C18="Quercus pyrenaica",IF(OR($D18="",$L18="",$J18="",$I18=""),"",(AB18+AC18*$L18)*EXP((AD18+AE18*$J18)*EXP(-(AF18+AG18*$I18)*$D18))),"")))),"")</f>
        <v/>
      </c>
      <c r="P18" s="15" t="str">
        <f aca="false">IFERROR(IF(OR($C18="",$D18="",$E18="",$G18=""),"",1.3+(AH18+AI18*$E18-AJ18*$G18)*EXP(-AK18/SQRT($D18))),"")</f>
        <v/>
      </c>
      <c r="Q18" s="15" t="str">
        <f aca="false">IFERROR(IF(OR($C18="",$D18=""),"",1.3+AL18*(LN(1+$D18))^AM18),"")</f>
        <v/>
      </c>
      <c r="S18" s="1" t="str">
        <f aca="false">IF($C18="","",VLOOKUP($C18,coefs!$A:$V,2,FALSE()))</f>
        <v/>
      </c>
      <c r="T18" s="1" t="str">
        <f aca="false">IF($C18="","",VLOOKUP($C18,coefs!$A:$V,3,FALSE()))</f>
        <v/>
      </c>
      <c r="U18" s="1" t="str">
        <f aca="false">IF($C18="","",VLOOKUP($C18,coefs!$A:$V,4,FALSE()))</f>
        <v/>
      </c>
      <c r="V18" s="1" t="str">
        <f aca="false">IF($C18="","",VLOOKUP($C18,coefs!$A:$V,5,FALSE()))</f>
        <v/>
      </c>
      <c r="W18" s="1" t="str">
        <f aca="false">IF($C18="","",VLOOKUP($C18,coefs!$A:$V,6,FALSE()))</f>
        <v/>
      </c>
      <c r="X18" s="1" t="str">
        <f aca="false">IF($C18="","",VLOOKUP($C18,coefs!$A:$V,7,FALSE()))</f>
        <v/>
      </c>
      <c r="Y18" s="1" t="str">
        <f aca="false">IF($C18="","",VLOOKUP($C18,coefs!$A:$V,8,FALSE()))</f>
        <v/>
      </c>
      <c r="Z18" s="1" t="str">
        <f aca="false">IF($C18="","",VLOOKUP($C18,coefs!$A:$V,9,FALSE()))</f>
        <v/>
      </c>
      <c r="AA18" s="1" t="str">
        <f aca="false">IF($C18="","",VLOOKUP($C18,coefs!$A:$V,10,FALSE()))</f>
        <v/>
      </c>
      <c r="AB18" s="1" t="str">
        <f aca="false">IF($C18="","",VLOOKUP($C18,coefs!$A:$V,11,FALSE()))</f>
        <v/>
      </c>
      <c r="AC18" s="1" t="str">
        <f aca="false">IF($C18="","",VLOOKUP($C18,coefs!$A:$V,12,FALSE()))</f>
        <v/>
      </c>
      <c r="AD18" s="1" t="str">
        <f aca="false">IF($C18="","",VLOOKUP($C18,coefs!$A:$V,13,FALSE()))</f>
        <v/>
      </c>
      <c r="AE18" s="1" t="str">
        <f aca="false">IF($C18="","",VLOOKUP($C18,coefs!$A:$V,14,FALSE()))</f>
        <v/>
      </c>
      <c r="AF18" s="1" t="str">
        <f aca="false">IF($C18="","",VLOOKUP($C18,coefs!$A:$V,15,FALSE()))</f>
        <v/>
      </c>
      <c r="AG18" s="1" t="str">
        <f aca="false">IF($C18="","",VLOOKUP($C18,coefs!$A:$V,16,FALSE()))</f>
        <v/>
      </c>
      <c r="AH18" s="1" t="str">
        <f aca="false">IF($C18="","",VLOOKUP($C18,coefs!$A:$V,17,FALSE()))</f>
        <v/>
      </c>
      <c r="AI18" s="1" t="str">
        <f aca="false">IF($C18="","",VLOOKUP($C18,coefs!$A:$V,18,FALSE()))</f>
        <v/>
      </c>
      <c r="AJ18" s="1" t="str">
        <f aca="false">IF($C18="","",VLOOKUP($C18,coefs!$A:$V,19,FALSE()))</f>
        <v/>
      </c>
      <c r="AK18" s="1" t="str">
        <f aca="false">IF($C18="","",VLOOKUP($C18,coefs!$A:$V,20,FALSE()))</f>
        <v/>
      </c>
      <c r="AL18" s="1" t="str">
        <f aca="false">IF($C18="","",VLOOKUP($C18,coefs!$A:$V,21,FALSE()))</f>
        <v/>
      </c>
      <c r="AM18" s="1" t="str">
        <f aca="false">IF($C18="","",VLOOKUP($C18,coefs!$A:$V,22,FALSE()))</f>
        <v/>
      </c>
    </row>
    <row r="19" customFormat="false" ht="15" hidden="false" customHeight="true" outlineLevel="0" collapsed="false">
      <c r="A19" s="14"/>
      <c r="B19" s="14"/>
      <c r="C19" s="14"/>
      <c r="D19" s="15"/>
      <c r="E19" s="16"/>
      <c r="F19" s="16"/>
      <c r="G19" s="16"/>
      <c r="H19" s="17"/>
      <c r="I19" s="16"/>
      <c r="J19" s="16"/>
      <c r="K19" s="17"/>
      <c r="L19" s="17"/>
      <c r="M19" s="15" t="str">
        <f aca="false">IFERROR(IF(OR($C19="",$D19=""),"",IF($C19="Pinus pinaster",S19/(1+T19*EXP(-U19*$D19)),IF($C19="Quercus pyrenaica",S19*EXP(T19*EXP(-U19*$D19)),1.3+EXP(S19*EXP(-T19*$D19^(-U19)))))),"")</f>
        <v/>
      </c>
      <c r="N19" s="15" t="str">
        <f aca="false">IFERROR(IF($C19="Pinus sylvestris",IF(OR($D19="",$E19="",$F19=""),"",1.3+EXP((V19+W19*$E19)*EXP(-(X19+Y19*$F19)*$D19^(-(Z19+AA19*$E19))))),IF($C19="Pinus nigra",IF(OR($D19="",$E19="",$F19="",$J19=""),"",1.3+EXP((V19+W19*$J19)*EXP(-(X19+Y19*$F19)*$D19^(-(Z19+AA19*$E19))))),IF($C19="Pinus pinaster",IF(OR($D19="",$E19="",$H19="",$F19=""),"",(V19+W19*$E19)/(1+(X19+Y19*$H19)*EXP(-(Z19+AA19*$F19)*$D19))),IF($C19="Quercus pyrenaica",IF(OR($D19="",$E19="",$G19="",$J19=""),"",(V19+W19*$E19)*EXP((X19+Y19*$G19)*EXP(-(Z19+AA19*$J19)*$D19))),"")))),"")</f>
        <v/>
      </c>
      <c r="O19" s="15" t="str">
        <f aca="false">IFERROR(IF($C19="Pinus sylvestris",IF(OR($D19="",$H19="",$I19="",$J19=""),"",1.3+EXP((AB19+AC19*$H19)*EXP(-(AD19+AE19*$I19)*$D19^(-(AF19+AG19*$J19))))),IF($C19="Pinus nigra",IF(OR($D19="",$H19="",$L19="",$I19=""),"",1.3+EXP((AB19+AC19*$H19)*EXP(-(AD19+AE19*$L19)*$D19^(-(AF19+AG19*$I19))))),IF($C19="Pinus pinaster",IF(OR($D19="",$I19="",$K19=""),"",(AB19+AC19*$I19)/(1+(AD19+AE19*$K19)*EXP(-(AF19+AG19*$I19)*$D19))),IF($C19="Quercus pyrenaica",IF(OR($D19="",$L19="",$J19="",$I19=""),"",(AB19+AC19*$L19)*EXP((AD19+AE19*$J19)*EXP(-(AF19+AG19*$I19)*$D19))),"")))),"")</f>
        <v/>
      </c>
      <c r="P19" s="15" t="str">
        <f aca="false">IFERROR(IF(OR($C19="",$D19="",$E19="",$G19=""),"",1.3+(AH19+AI19*$E19-AJ19*$G19)*EXP(-AK19/SQRT($D19))),"")</f>
        <v/>
      </c>
      <c r="Q19" s="15" t="str">
        <f aca="false">IFERROR(IF(OR($C19="",$D19=""),"",1.3+AL19*(LN(1+$D19))^AM19),"")</f>
        <v/>
      </c>
      <c r="S19" s="1" t="str">
        <f aca="false">IF($C19="","",VLOOKUP($C19,coefs!$A:$V,2,FALSE()))</f>
        <v/>
      </c>
      <c r="T19" s="1" t="str">
        <f aca="false">IF($C19="","",VLOOKUP($C19,coefs!$A:$V,3,FALSE()))</f>
        <v/>
      </c>
      <c r="U19" s="1" t="str">
        <f aca="false">IF($C19="","",VLOOKUP($C19,coefs!$A:$V,4,FALSE()))</f>
        <v/>
      </c>
      <c r="V19" s="1" t="str">
        <f aca="false">IF($C19="","",VLOOKUP($C19,coefs!$A:$V,5,FALSE()))</f>
        <v/>
      </c>
      <c r="W19" s="1" t="str">
        <f aca="false">IF($C19="","",VLOOKUP($C19,coefs!$A:$V,6,FALSE()))</f>
        <v/>
      </c>
      <c r="X19" s="1" t="str">
        <f aca="false">IF($C19="","",VLOOKUP($C19,coefs!$A:$V,7,FALSE()))</f>
        <v/>
      </c>
      <c r="Y19" s="1" t="str">
        <f aca="false">IF($C19="","",VLOOKUP($C19,coefs!$A:$V,8,FALSE()))</f>
        <v/>
      </c>
      <c r="Z19" s="1" t="str">
        <f aca="false">IF($C19="","",VLOOKUP($C19,coefs!$A:$V,9,FALSE()))</f>
        <v/>
      </c>
      <c r="AA19" s="1" t="str">
        <f aca="false">IF($C19="","",VLOOKUP($C19,coefs!$A:$V,10,FALSE()))</f>
        <v/>
      </c>
      <c r="AB19" s="1" t="str">
        <f aca="false">IF($C19="","",VLOOKUP($C19,coefs!$A:$V,11,FALSE()))</f>
        <v/>
      </c>
      <c r="AC19" s="1" t="str">
        <f aca="false">IF($C19="","",VLOOKUP($C19,coefs!$A:$V,12,FALSE()))</f>
        <v/>
      </c>
      <c r="AD19" s="1" t="str">
        <f aca="false">IF($C19="","",VLOOKUP($C19,coefs!$A:$V,13,FALSE()))</f>
        <v/>
      </c>
      <c r="AE19" s="1" t="str">
        <f aca="false">IF($C19="","",VLOOKUP($C19,coefs!$A:$V,14,FALSE()))</f>
        <v/>
      </c>
      <c r="AF19" s="1" t="str">
        <f aca="false">IF($C19="","",VLOOKUP($C19,coefs!$A:$V,15,FALSE()))</f>
        <v/>
      </c>
      <c r="AG19" s="1" t="str">
        <f aca="false">IF($C19="","",VLOOKUP($C19,coefs!$A:$V,16,FALSE()))</f>
        <v/>
      </c>
      <c r="AH19" s="1" t="str">
        <f aca="false">IF($C19="","",VLOOKUP($C19,coefs!$A:$V,17,FALSE()))</f>
        <v/>
      </c>
      <c r="AI19" s="1" t="str">
        <f aca="false">IF($C19="","",VLOOKUP($C19,coefs!$A:$V,18,FALSE()))</f>
        <v/>
      </c>
      <c r="AJ19" s="1" t="str">
        <f aca="false">IF($C19="","",VLOOKUP($C19,coefs!$A:$V,19,FALSE()))</f>
        <v/>
      </c>
      <c r="AK19" s="1" t="str">
        <f aca="false">IF($C19="","",VLOOKUP($C19,coefs!$A:$V,20,FALSE()))</f>
        <v/>
      </c>
      <c r="AL19" s="1" t="str">
        <f aca="false">IF($C19="","",VLOOKUP($C19,coefs!$A:$V,21,FALSE()))</f>
        <v/>
      </c>
      <c r="AM19" s="1" t="str">
        <f aca="false">IF($C19="","",VLOOKUP($C19,coefs!$A:$V,22,FALSE()))</f>
        <v/>
      </c>
    </row>
    <row r="20" customFormat="false" ht="15" hidden="false" customHeight="true" outlineLevel="0" collapsed="false">
      <c r="A20" s="14"/>
      <c r="B20" s="14"/>
      <c r="C20" s="14"/>
      <c r="D20" s="15"/>
      <c r="E20" s="16"/>
      <c r="F20" s="16"/>
      <c r="G20" s="16"/>
      <c r="H20" s="17"/>
      <c r="I20" s="16"/>
      <c r="J20" s="16"/>
      <c r="K20" s="17"/>
      <c r="L20" s="17"/>
      <c r="M20" s="15" t="str">
        <f aca="false">IFERROR(IF(OR($C20="",$D20=""),"",IF($C20="Pinus pinaster",S20/(1+T20*EXP(-U20*$D20)),IF($C20="Quercus pyrenaica",S20*EXP(T20*EXP(-U20*$D20)),1.3+EXP(S20*EXP(-T20*$D20^(-U20)))))),"")</f>
        <v/>
      </c>
      <c r="N20" s="15" t="str">
        <f aca="false">IFERROR(IF($C20="Pinus sylvestris",IF(OR($D20="",$E20="",$F20=""),"",1.3+EXP((V20+W20*$E20)*EXP(-(X20+Y20*$F20)*$D20^(-(Z20+AA20*$E20))))),IF($C20="Pinus nigra",IF(OR($D20="",$E20="",$F20="",$J20=""),"",1.3+EXP((V20+W20*$J20)*EXP(-(X20+Y20*$F20)*$D20^(-(Z20+AA20*$E20))))),IF($C20="Pinus pinaster",IF(OR($D20="",$E20="",$H20="",$F20=""),"",(V20+W20*$E20)/(1+(X20+Y20*$H20)*EXP(-(Z20+AA20*$F20)*$D20))),IF($C20="Quercus pyrenaica",IF(OR($D20="",$E20="",$G20="",$J20=""),"",(V20+W20*$E20)*EXP((X20+Y20*$G20)*EXP(-(Z20+AA20*$J20)*$D20))),"")))),"")</f>
        <v/>
      </c>
      <c r="O20" s="15" t="str">
        <f aca="false">IFERROR(IF($C20="Pinus sylvestris",IF(OR($D20="",$H20="",$I20="",$J20=""),"",1.3+EXP((AB20+AC20*$H20)*EXP(-(AD20+AE20*$I20)*$D20^(-(AF20+AG20*$J20))))),IF($C20="Pinus nigra",IF(OR($D20="",$H20="",$L20="",$I20=""),"",1.3+EXP((AB20+AC20*$H20)*EXP(-(AD20+AE20*$L20)*$D20^(-(AF20+AG20*$I20))))),IF($C20="Pinus pinaster",IF(OR($D20="",$I20="",$K20=""),"",(AB20+AC20*$I20)/(1+(AD20+AE20*$K20)*EXP(-(AF20+AG20*$I20)*$D20))),IF($C20="Quercus pyrenaica",IF(OR($D20="",$L20="",$J20="",$I20=""),"",(AB20+AC20*$L20)*EXP((AD20+AE20*$J20)*EXP(-(AF20+AG20*$I20)*$D20))),"")))),"")</f>
        <v/>
      </c>
      <c r="P20" s="15" t="str">
        <f aca="false">IFERROR(IF(OR($C20="",$D20="",$E20="",$G20=""),"",1.3+(AH20+AI20*$E20-AJ20*$G20)*EXP(-AK20/SQRT($D20))),"")</f>
        <v/>
      </c>
      <c r="Q20" s="15" t="str">
        <f aca="false">IFERROR(IF(OR($C20="",$D20=""),"",1.3+AL20*(LN(1+$D20))^AM20),"")</f>
        <v/>
      </c>
      <c r="S20" s="1" t="str">
        <f aca="false">IF($C20="","",VLOOKUP($C20,coefs!$A:$V,2,FALSE()))</f>
        <v/>
      </c>
      <c r="T20" s="1" t="str">
        <f aca="false">IF($C20="","",VLOOKUP($C20,coefs!$A:$V,3,FALSE()))</f>
        <v/>
      </c>
      <c r="U20" s="1" t="str">
        <f aca="false">IF($C20="","",VLOOKUP($C20,coefs!$A:$V,4,FALSE()))</f>
        <v/>
      </c>
      <c r="V20" s="1" t="str">
        <f aca="false">IF($C20="","",VLOOKUP($C20,coefs!$A:$V,5,FALSE()))</f>
        <v/>
      </c>
      <c r="W20" s="1" t="str">
        <f aca="false">IF($C20="","",VLOOKUP($C20,coefs!$A:$V,6,FALSE()))</f>
        <v/>
      </c>
      <c r="X20" s="1" t="str">
        <f aca="false">IF($C20="","",VLOOKUP($C20,coefs!$A:$V,7,FALSE()))</f>
        <v/>
      </c>
      <c r="Y20" s="1" t="str">
        <f aca="false">IF($C20="","",VLOOKUP($C20,coefs!$A:$V,8,FALSE()))</f>
        <v/>
      </c>
      <c r="Z20" s="1" t="str">
        <f aca="false">IF($C20="","",VLOOKUP($C20,coefs!$A:$V,9,FALSE()))</f>
        <v/>
      </c>
      <c r="AA20" s="1" t="str">
        <f aca="false">IF($C20="","",VLOOKUP($C20,coefs!$A:$V,10,FALSE()))</f>
        <v/>
      </c>
      <c r="AB20" s="1" t="str">
        <f aca="false">IF($C20="","",VLOOKUP($C20,coefs!$A:$V,11,FALSE()))</f>
        <v/>
      </c>
      <c r="AC20" s="1" t="str">
        <f aca="false">IF($C20="","",VLOOKUP($C20,coefs!$A:$V,12,FALSE()))</f>
        <v/>
      </c>
      <c r="AD20" s="1" t="str">
        <f aca="false">IF($C20="","",VLOOKUP($C20,coefs!$A:$V,13,FALSE()))</f>
        <v/>
      </c>
      <c r="AE20" s="1" t="str">
        <f aca="false">IF($C20="","",VLOOKUP($C20,coefs!$A:$V,14,FALSE()))</f>
        <v/>
      </c>
      <c r="AF20" s="1" t="str">
        <f aca="false">IF($C20="","",VLOOKUP($C20,coefs!$A:$V,15,FALSE()))</f>
        <v/>
      </c>
      <c r="AG20" s="1" t="str">
        <f aca="false">IF($C20="","",VLOOKUP($C20,coefs!$A:$V,16,FALSE()))</f>
        <v/>
      </c>
      <c r="AH20" s="1" t="str">
        <f aca="false">IF($C20="","",VLOOKUP($C20,coefs!$A:$V,17,FALSE()))</f>
        <v/>
      </c>
      <c r="AI20" s="1" t="str">
        <f aca="false">IF($C20="","",VLOOKUP($C20,coefs!$A:$V,18,FALSE()))</f>
        <v/>
      </c>
      <c r="AJ20" s="1" t="str">
        <f aca="false">IF($C20="","",VLOOKUP($C20,coefs!$A:$V,19,FALSE()))</f>
        <v/>
      </c>
      <c r="AK20" s="1" t="str">
        <f aca="false">IF($C20="","",VLOOKUP($C20,coefs!$A:$V,20,FALSE()))</f>
        <v/>
      </c>
      <c r="AL20" s="1" t="str">
        <f aca="false">IF($C20="","",VLOOKUP($C20,coefs!$A:$V,21,FALSE()))</f>
        <v/>
      </c>
      <c r="AM20" s="1" t="str">
        <f aca="false">IF($C20="","",VLOOKUP($C20,coefs!$A:$V,22,FALSE()))</f>
        <v/>
      </c>
    </row>
    <row r="21" customFormat="false" ht="15" hidden="false" customHeight="true" outlineLevel="0" collapsed="false">
      <c r="A21" s="14"/>
      <c r="B21" s="14"/>
      <c r="C21" s="14"/>
      <c r="D21" s="15"/>
      <c r="E21" s="16"/>
      <c r="F21" s="16"/>
      <c r="G21" s="16"/>
      <c r="H21" s="17"/>
      <c r="I21" s="16"/>
      <c r="J21" s="16"/>
      <c r="K21" s="17"/>
      <c r="L21" s="17"/>
      <c r="M21" s="15" t="str">
        <f aca="false">IFERROR(IF(OR($C21="",$D21=""),"",IF($C21="Pinus pinaster",S21/(1+T21*EXP(-U21*$D21)),IF($C21="Quercus pyrenaica",S21*EXP(T21*EXP(-U21*$D21)),1.3+EXP(S21*EXP(-T21*$D21^(-U21)))))),"")</f>
        <v/>
      </c>
      <c r="N21" s="15" t="str">
        <f aca="false">IFERROR(IF($C21="Pinus sylvestris",IF(OR($D21="",$E21="",$F21=""),"",1.3+EXP((V21+W21*$E21)*EXP(-(X21+Y21*$F21)*$D21^(-(Z21+AA21*$E21))))),IF($C21="Pinus nigra",IF(OR($D21="",$E21="",$F21="",$J21=""),"",1.3+EXP((V21+W21*$J21)*EXP(-(X21+Y21*$F21)*$D21^(-(Z21+AA21*$E21))))),IF($C21="Pinus pinaster",IF(OR($D21="",$E21="",$H21="",$F21=""),"",(V21+W21*$E21)/(1+(X21+Y21*$H21)*EXP(-(Z21+AA21*$F21)*$D21))),IF($C21="Quercus pyrenaica",IF(OR($D21="",$E21="",$G21="",$J21=""),"",(V21+W21*$E21)*EXP((X21+Y21*$G21)*EXP(-(Z21+AA21*$J21)*$D21))),"")))),"")</f>
        <v/>
      </c>
      <c r="O21" s="15" t="str">
        <f aca="false">IFERROR(IF($C21="Pinus sylvestris",IF(OR($D21="",$H21="",$I21="",$J21=""),"",1.3+EXP((AB21+AC21*$H21)*EXP(-(AD21+AE21*$I21)*$D21^(-(AF21+AG21*$J21))))),IF($C21="Pinus nigra",IF(OR($D21="",$H21="",$L21="",$I21=""),"",1.3+EXP((AB21+AC21*$H21)*EXP(-(AD21+AE21*$L21)*$D21^(-(AF21+AG21*$I21))))),IF($C21="Pinus pinaster",IF(OR($D21="",$I21="",$K21=""),"",(AB21+AC21*$I21)/(1+(AD21+AE21*$K21)*EXP(-(AF21+AG21*$I21)*$D21))),IF($C21="Quercus pyrenaica",IF(OR($D21="",$L21="",$J21="",$I21=""),"",(AB21+AC21*$L21)*EXP((AD21+AE21*$J21)*EXP(-(AF21+AG21*$I21)*$D21))),"")))),"")</f>
        <v/>
      </c>
      <c r="P21" s="15" t="str">
        <f aca="false">IFERROR(IF(OR($C21="",$D21="",$E21="",$G21=""),"",1.3+(AH21+AI21*$E21-AJ21*$G21)*EXP(-AK21/SQRT($D21))),"")</f>
        <v/>
      </c>
      <c r="Q21" s="15" t="str">
        <f aca="false">IFERROR(IF(OR($C21="",$D21=""),"",1.3+AL21*(LN(1+$D21))^AM21),"")</f>
        <v/>
      </c>
      <c r="S21" s="1" t="str">
        <f aca="false">IF($C21="","",VLOOKUP($C21,coefs!$A:$V,2,FALSE()))</f>
        <v/>
      </c>
      <c r="T21" s="1" t="str">
        <f aca="false">IF($C21="","",VLOOKUP($C21,coefs!$A:$V,3,FALSE()))</f>
        <v/>
      </c>
      <c r="U21" s="1" t="str">
        <f aca="false">IF($C21="","",VLOOKUP($C21,coefs!$A:$V,4,FALSE()))</f>
        <v/>
      </c>
      <c r="V21" s="1" t="str">
        <f aca="false">IF($C21="","",VLOOKUP($C21,coefs!$A:$V,5,FALSE()))</f>
        <v/>
      </c>
      <c r="W21" s="1" t="str">
        <f aca="false">IF($C21="","",VLOOKUP($C21,coefs!$A:$V,6,FALSE()))</f>
        <v/>
      </c>
      <c r="X21" s="1" t="str">
        <f aca="false">IF($C21="","",VLOOKUP($C21,coefs!$A:$V,7,FALSE()))</f>
        <v/>
      </c>
      <c r="Y21" s="1" t="str">
        <f aca="false">IF($C21="","",VLOOKUP($C21,coefs!$A:$V,8,FALSE()))</f>
        <v/>
      </c>
      <c r="Z21" s="1" t="str">
        <f aca="false">IF($C21="","",VLOOKUP($C21,coefs!$A:$V,9,FALSE()))</f>
        <v/>
      </c>
      <c r="AA21" s="1" t="str">
        <f aca="false">IF($C21="","",VLOOKUP($C21,coefs!$A:$V,10,FALSE()))</f>
        <v/>
      </c>
      <c r="AB21" s="1" t="str">
        <f aca="false">IF($C21="","",VLOOKUP($C21,coefs!$A:$V,11,FALSE()))</f>
        <v/>
      </c>
      <c r="AC21" s="1" t="str">
        <f aca="false">IF($C21="","",VLOOKUP($C21,coefs!$A:$V,12,FALSE()))</f>
        <v/>
      </c>
      <c r="AD21" s="1" t="str">
        <f aca="false">IF($C21="","",VLOOKUP($C21,coefs!$A:$V,13,FALSE()))</f>
        <v/>
      </c>
      <c r="AE21" s="1" t="str">
        <f aca="false">IF($C21="","",VLOOKUP($C21,coefs!$A:$V,14,FALSE()))</f>
        <v/>
      </c>
      <c r="AF21" s="1" t="str">
        <f aca="false">IF($C21="","",VLOOKUP($C21,coefs!$A:$V,15,FALSE()))</f>
        <v/>
      </c>
      <c r="AG21" s="1" t="str">
        <f aca="false">IF($C21="","",VLOOKUP($C21,coefs!$A:$V,16,FALSE()))</f>
        <v/>
      </c>
      <c r="AH21" s="1" t="str">
        <f aca="false">IF($C21="","",VLOOKUP($C21,coefs!$A:$V,17,FALSE()))</f>
        <v/>
      </c>
      <c r="AI21" s="1" t="str">
        <f aca="false">IF($C21="","",VLOOKUP($C21,coefs!$A:$V,18,FALSE()))</f>
        <v/>
      </c>
      <c r="AJ21" s="1" t="str">
        <f aca="false">IF($C21="","",VLOOKUP($C21,coefs!$A:$V,19,FALSE()))</f>
        <v/>
      </c>
      <c r="AK21" s="1" t="str">
        <f aca="false">IF($C21="","",VLOOKUP($C21,coefs!$A:$V,20,FALSE()))</f>
        <v/>
      </c>
      <c r="AL21" s="1" t="str">
        <f aca="false">IF($C21="","",VLOOKUP($C21,coefs!$A:$V,21,FALSE()))</f>
        <v/>
      </c>
      <c r="AM21" s="1" t="str">
        <f aca="false">IF($C21="","",VLOOKUP($C21,coefs!$A:$V,22,FALSE()))</f>
        <v/>
      </c>
    </row>
    <row r="22" customFormat="false" ht="15" hidden="false" customHeight="true" outlineLevel="0" collapsed="false">
      <c r="A22" s="14"/>
      <c r="B22" s="14"/>
      <c r="C22" s="14"/>
      <c r="D22" s="15"/>
      <c r="E22" s="16"/>
      <c r="F22" s="16"/>
      <c r="G22" s="16"/>
      <c r="H22" s="17"/>
      <c r="I22" s="16"/>
      <c r="J22" s="16"/>
      <c r="K22" s="17"/>
      <c r="L22" s="17"/>
      <c r="M22" s="15" t="str">
        <f aca="false">IFERROR(IF(OR($C22="",$D22=""),"",IF($C22="Pinus pinaster",S22/(1+T22*EXP(-U22*$D22)),IF($C22="Quercus pyrenaica",S22*EXP(T22*EXP(-U22*$D22)),1.3+EXP(S22*EXP(-T22*$D22^(-U22)))))),"")</f>
        <v/>
      </c>
      <c r="N22" s="15" t="str">
        <f aca="false">IFERROR(IF($C22="Pinus sylvestris",IF(OR($D22="",$E22="",$F22=""),"",1.3+EXP((V22+W22*$E22)*EXP(-(X22+Y22*$F22)*$D22^(-(Z22+AA22*$E22))))),IF($C22="Pinus nigra",IF(OR($D22="",$E22="",$F22="",$J22=""),"",1.3+EXP((V22+W22*$J22)*EXP(-(X22+Y22*$F22)*$D22^(-(Z22+AA22*$E22))))),IF($C22="Pinus pinaster",IF(OR($D22="",$E22="",$H22="",$F22=""),"",(V22+W22*$E22)/(1+(X22+Y22*$H22)*EXP(-(Z22+AA22*$F22)*$D22))),IF($C22="Quercus pyrenaica",IF(OR($D22="",$E22="",$G22="",$J22=""),"",(V22+W22*$E22)*EXP((X22+Y22*$G22)*EXP(-(Z22+AA22*$J22)*$D22))),"")))),"")</f>
        <v/>
      </c>
      <c r="O22" s="15" t="str">
        <f aca="false">IFERROR(IF($C22="Pinus sylvestris",IF(OR($D22="",$H22="",$I22="",$J22=""),"",1.3+EXP((AB22+AC22*$H22)*EXP(-(AD22+AE22*$I22)*$D22^(-(AF22+AG22*$J22))))),IF($C22="Pinus nigra",IF(OR($D22="",$H22="",$L22="",$I22=""),"",1.3+EXP((AB22+AC22*$H22)*EXP(-(AD22+AE22*$L22)*$D22^(-(AF22+AG22*$I22))))),IF($C22="Pinus pinaster",IF(OR($D22="",$I22="",$K22=""),"",(AB22+AC22*$I22)/(1+(AD22+AE22*$K22)*EXP(-(AF22+AG22*$I22)*$D22))),IF($C22="Quercus pyrenaica",IF(OR($D22="",$L22="",$J22="",$I22=""),"",(AB22+AC22*$L22)*EXP((AD22+AE22*$J22)*EXP(-(AF22+AG22*$I22)*$D22))),"")))),"")</f>
        <v/>
      </c>
      <c r="P22" s="15" t="str">
        <f aca="false">IFERROR(IF(OR($C22="",$D22="",$E22="",$G22=""),"",1.3+(AH22+AI22*$E22-AJ22*$G22)*EXP(-AK22/SQRT($D22))),"")</f>
        <v/>
      </c>
      <c r="Q22" s="15" t="str">
        <f aca="false">IFERROR(IF(OR($C22="",$D22=""),"",1.3+AL22*(LN(1+$D22))^AM22),"")</f>
        <v/>
      </c>
      <c r="S22" s="1" t="str">
        <f aca="false">IF($C22="","",VLOOKUP($C22,coefs!$A:$V,2,FALSE()))</f>
        <v/>
      </c>
      <c r="T22" s="1" t="str">
        <f aca="false">IF($C22="","",VLOOKUP($C22,coefs!$A:$V,3,FALSE()))</f>
        <v/>
      </c>
      <c r="U22" s="1" t="str">
        <f aca="false">IF($C22="","",VLOOKUP($C22,coefs!$A:$V,4,FALSE()))</f>
        <v/>
      </c>
      <c r="V22" s="1" t="str">
        <f aca="false">IF($C22="","",VLOOKUP($C22,coefs!$A:$V,5,FALSE()))</f>
        <v/>
      </c>
      <c r="W22" s="1" t="str">
        <f aca="false">IF($C22="","",VLOOKUP($C22,coefs!$A:$V,6,FALSE()))</f>
        <v/>
      </c>
      <c r="X22" s="1" t="str">
        <f aca="false">IF($C22="","",VLOOKUP($C22,coefs!$A:$V,7,FALSE()))</f>
        <v/>
      </c>
      <c r="Y22" s="1" t="str">
        <f aca="false">IF($C22="","",VLOOKUP($C22,coefs!$A:$V,8,FALSE()))</f>
        <v/>
      </c>
      <c r="Z22" s="1" t="str">
        <f aca="false">IF($C22="","",VLOOKUP($C22,coefs!$A:$V,9,FALSE()))</f>
        <v/>
      </c>
      <c r="AA22" s="1" t="str">
        <f aca="false">IF($C22="","",VLOOKUP($C22,coefs!$A:$V,10,FALSE()))</f>
        <v/>
      </c>
      <c r="AB22" s="1" t="str">
        <f aca="false">IF($C22="","",VLOOKUP($C22,coefs!$A:$V,11,FALSE()))</f>
        <v/>
      </c>
      <c r="AC22" s="1" t="str">
        <f aca="false">IF($C22="","",VLOOKUP($C22,coefs!$A:$V,12,FALSE()))</f>
        <v/>
      </c>
      <c r="AD22" s="1" t="str">
        <f aca="false">IF($C22="","",VLOOKUP($C22,coefs!$A:$V,13,FALSE()))</f>
        <v/>
      </c>
      <c r="AE22" s="1" t="str">
        <f aca="false">IF($C22="","",VLOOKUP($C22,coefs!$A:$V,14,FALSE()))</f>
        <v/>
      </c>
      <c r="AF22" s="1" t="str">
        <f aca="false">IF($C22="","",VLOOKUP($C22,coefs!$A:$V,15,FALSE()))</f>
        <v/>
      </c>
      <c r="AG22" s="1" t="str">
        <f aca="false">IF($C22="","",VLOOKUP($C22,coefs!$A:$V,16,FALSE()))</f>
        <v/>
      </c>
      <c r="AH22" s="1" t="str">
        <f aca="false">IF($C22="","",VLOOKUP($C22,coefs!$A:$V,17,FALSE()))</f>
        <v/>
      </c>
      <c r="AI22" s="1" t="str">
        <f aca="false">IF($C22="","",VLOOKUP($C22,coefs!$A:$V,18,FALSE()))</f>
        <v/>
      </c>
      <c r="AJ22" s="1" t="str">
        <f aca="false">IF($C22="","",VLOOKUP($C22,coefs!$A:$V,19,FALSE()))</f>
        <v/>
      </c>
      <c r="AK22" s="1" t="str">
        <f aca="false">IF($C22="","",VLOOKUP($C22,coefs!$A:$V,20,FALSE()))</f>
        <v/>
      </c>
      <c r="AL22" s="1" t="str">
        <f aca="false">IF($C22="","",VLOOKUP($C22,coefs!$A:$V,21,FALSE()))</f>
        <v/>
      </c>
      <c r="AM22" s="1" t="str">
        <f aca="false">IF($C22="","",VLOOKUP($C22,coefs!$A:$V,22,FALSE()))</f>
        <v/>
      </c>
    </row>
    <row r="23" customFormat="false" ht="15" hidden="false" customHeight="true" outlineLevel="0" collapsed="false">
      <c r="A23" s="14"/>
      <c r="B23" s="14"/>
      <c r="C23" s="14"/>
      <c r="D23" s="15"/>
      <c r="E23" s="16"/>
      <c r="F23" s="16"/>
      <c r="G23" s="16"/>
      <c r="H23" s="17"/>
      <c r="I23" s="16"/>
      <c r="J23" s="16"/>
      <c r="K23" s="17"/>
      <c r="L23" s="17"/>
      <c r="M23" s="15" t="str">
        <f aca="false">IFERROR(IF(OR($C23="",$D23=""),"",IF($C23="Pinus pinaster",S23/(1+T23*EXP(-U23*$D23)),IF($C23="Quercus pyrenaica",S23*EXP(T23*EXP(-U23*$D23)),1.3+EXP(S23*EXP(-T23*$D23^(-U23)))))),"")</f>
        <v/>
      </c>
      <c r="N23" s="15" t="str">
        <f aca="false">IFERROR(IF($C23="Pinus sylvestris",IF(OR($D23="",$E23="",$F23=""),"",1.3+EXP((V23+W23*$E23)*EXP(-(X23+Y23*$F23)*$D23^(-(Z23+AA23*$E23))))),IF($C23="Pinus nigra",IF(OR($D23="",$E23="",$F23="",$J23=""),"",1.3+EXP((V23+W23*$J23)*EXP(-(X23+Y23*$F23)*$D23^(-(Z23+AA23*$E23))))),IF($C23="Pinus pinaster",IF(OR($D23="",$E23="",$H23="",$F23=""),"",(V23+W23*$E23)/(1+(X23+Y23*$H23)*EXP(-(Z23+AA23*$F23)*$D23))),IF($C23="Quercus pyrenaica",IF(OR($D23="",$E23="",$G23="",$J23=""),"",(V23+W23*$E23)*EXP((X23+Y23*$G23)*EXP(-(Z23+AA23*$J23)*$D23))),"")))),"")</f>
        <v/>
      </c>
      <c r="O23" s="15" t="str">
        <f aca="false">IFERROR(IF($C23="Pinus sylvestris",IF(OR($D23="",$H23="",$I23="",$J23=""),"",1.3+EXP((AB23+AC23*$H23)*EXP(-(AD23+AE23*$I23)*$D23^(-(AF23+AG23*$J23))))),IF($C23="Pinus nigra",IF(OR($D23="",$H23="",$L23="",$I23=""),"",1.3+EXP((AB23+AC23*$H23)*EXP(-(AD23+AE23*$L23)*$D23^(-(AF23+AG23*$I23))))),IF($C23="Pinus pinaster",IF(OR($D23="",$I23="",$K23=""),"",(AB23+AC23*$I23)/(1+(AD23+AE23*$K23)*EXP(-(AF23+AG23*$I23)*$D23))),IF($C23="Quercus pyrenaica",IF(OR($D23="",$L23="",$J23="",$I23=""),"",(AB23+AC23*$L23)*EXP((AD23+AE23*$J23)*EXP(-(AF23+AG23*$I23)*$D23))),"")))),"")</f>
        <v/>
      </c>
      <c r="P23" s="15" t="str">
        <f aca="false">IFERROR(IF(OR($C23="",$D23="",$E23="",$G23=""),"",1.3+(AH23+AI23*$E23-AJ23*$G23)*EXP(-AK23/SQRT($D23))),"")</f>
        <v/>
      </c>
      <c r="Q23" s="15" t="str">
        <f aca="false">IFERROR(IF(OR($C23="",$D23=""),"",1.3+AL23*(LN(1+$D23))^AM23),"")</f>
        <v/>
      </c>
      <c r="S23" s="1" t="str">
        <f aca="false">IF($C23="","",VLOOKUP($C23,coefs!$A:$V,2,FALSE()))</f>
        <v/>
      </c>
      <c r="T23" s="1" t="str">
        <f aca="false">IF($C23="","",VLOOKUP($C23,coefs!$A:$V,3,FALSE()))</f>
        <v/>
      </c>
      <c r="U23" s="1" t="str">
        <f aca="false">IF($C23="","",VLOOKUP($C23,coefs!$A:$V,4,FALSE()))</f>
        <v/>
      </c>
      <c r="V23" s="1" t="str">
        <f aca="false">IF($C23="","",VLOOKUP($C23,coefs!$A:$V,5,FALSE()))</f>
        <v/>
      </c>
      <c r="W23" s="1" t="str">
        <f aca="false">IF($C23="","",VLOOKUP($C23,coefs!$A:$V,6,FALSE()))</f>
        <v/>
      </c>
      <c r="X23" s="1" t="str">
        <f aca="false">IF($C23="","",VLOOKUP($C23,coefs!$A:$V,7,FALSE()))</f>
        <v/>
      </c>
      <c r="Y23" s="1" t="str">
        <f aca="false">IF($C23="","",VLOOKUP($C23,coefs!$A:$V,8,FALSE()))</f>
        <v/>
      </c>
      <c r="Z23" s="1" t="str">
        <f aca="false">IF($C23="","",VLOOKUP($C23,coefs!$A:$V,9,FALSE()))</f>
        <v/>
      </c>
      <c r="AA23" s="1" t="str">
        <f aca="false">IF($C23="","",VLOOKUP($C23,coefs!$A:$V,10,FALSE()))</f>
        <v/>
      </c>
      <c r="AB23" s="1" t="str">
        <f aca="false">IF($C23="","",VLOOKUP($C23,coefs!$A:$V,11,FALSE()))</f>
        <v/>
      </c>
      <c r="AC23" s="1" t="str">
        <f aca="false">IF($C23="","",VLOOKUP($C23,coefs!$A:$V,12,FALSE()))</f>
        <v/>
      </c>
      <c r="AD23" s="1" t="str">
        <f aca="false">IF($C23="","",VLOOKUP($C23,coefs!$A:$V,13,FALSE()))</f>
        <v/>
      </c>
      <c r="AE23" s="1" t="str">
        <f aca="false">IF($C23="","",VLOOKUP($C23,coefs!$A:$V,14,FALSE()))</f>
        <v/>
      </c>
      <c r="AF23" s="1" t="str">
        <f aca="false">IF($C23="","",VLOOKUP($C23,coefs!$A:$V,15,FALSE()))</f>
        <v/>
      </c>
      <c r="AG23" s="1" t="str">
        <f aca="false">IF($C23="","",VLOOKUP($C23,coefs!$A:$V,16,FALSE()))</f>
        <v/>
      </c>
      <c r="AH23" s="1" t="str">
        <f aca="false">IF($C23="","",VLOOKUP($C23,coefs!$A:$V,17,FALSE()))</f>
        <v/>
      </c>
      <c r="AI23" s="1" t="str">
        <f aca="false">IF($C23="","",VLOOKUP($C23,coefs!$A:$V,18,FALSE()))</f>
        <v/>
      </c>
      <c r="AJ23" s="1" t="str">
        <f aca="false">IF($C23="","",VLOOKUP($C23,coefs!$A:$V,19,FALSE()))</f>
        <v/>
      </c>
      <c r="AK23" s="1" t="str">
        <f aca="false">IF($C23="","",VLOOKUP($C23,coefs!$A:$V,20,FALSE()))</f>
        <v/>
      </c>
      <c r="AL23" s="1" t="str">
        <f aca="false">IF($C23="","",VLOOKUP($C23,coefs!$A:$V,21,FALSE()))</f>
        <v/>
      </c>
      <c r="AM23" s="1" t="str">
        <f aca="false">IF($C23="","",VLOOKUP($C23,coefs!$A:$V,22,FALSE()))</f>
        <v/>
      </c>
    </row>
    <row r="24" customFormat="false" ht="15" hidden="false" customHeight="true" outlineLevel="0" collapsed="false">
      <c r="A24" s="14"/>
      <c r="B24" s="14"/>
      <c r="C24" s="14"/>
      <c r="D24" s="15"/>
      <c r="E24" s="16"/>
      <c r="F24" s="16"/>
      <c r="G24" s="16"/>
      <c r="H24" s="17"/>
      <c r="I24" s="16"/>
      <c r="J24" s="16"/>
      <c r="K24" s="17"/>
      <c r="L24" s="17"/>
      <c r="M24" s="15" t="str">
        <f aca="false">IFERROR(IF(OR($C24="",$D24=""),"",IF($C24="Pinus pinaster",S24/(1+T24*EXP(-U24*$D24)),IF($C24="Quercus pyrenaica",S24*EXP(T24*EXP(-U24*$D24)),1.3+EXP(S24*EXP(-T24*$D24^(-U24)))))),"")</f>
        <v/>
      </c>
      <c r="N24" s="15" t="str">
        <f aca="false">IFERROR(IF($C24="Pinus sylvestris",IF(OR($D24="",$E24="",$F24=""),"",1.3+EXP((V24+W24*$E24)*EXP(-(X24+Y24*$F24)*$D24^(-(Z24+AA24*$E24))))),IF($C24="Pinus nigra",IF(OR($D24="",$E24="",$F24="",$J24=""),"",1.3+EXP((V24+W24*$J24)*EXP(-(X24+Y24*$F24)*$D24^(-(Z24+AA24*$E24))))),IF($C24="Pinus pinaster",IF(OR($D24="",$E24="",$H24="",$F24=""),"",(V24+W24*$E24)/(1+(X24+Y24*$H24)*EXP(-(Z24+AA24*$F24)*$D24))),IF($C24="Quercus pyrenaica",IF(OR($D24="",$E24="",$G24="",$J24=""),"",(V24+W24*$E24)*EXP((X24+Y24*$G24)*EXP(-(Z24+AA24*$J24)*$D24))),"")))),"")</f>
        <v/>
      </c>
      <c r="O24" s="15" t="str">
        <f aca="false">IFERROR(IF($C24="Pinus sylvestris",IF(OR($D24="",$H24="",$I24="",$J24=""),"",1.3+EXP((AB24+AC24*$H24)*EXP(-(AD24+AE24*$I24)*$D24^(-(AF24+AG24*$J24))))),IF($C24="Pinus nigra",IF(OR($D24="",$H24="",$L24="",$I24=""),"",1.3+EXP((AB24+AC24*$H24)*EXP(-(AD24+AE24*$L24)*$D24^(-(AF24+AG24*$I24))))),IF($C24="Pinus pinaster",IF(OR($D24="",$I24="",$K24=""),"",(AB24+AC24*$I24)/(1+(AD24+AE24*$K24)*EXP(-(AF24+AG24*$I24)*$D24))),IF($C24="Quercus pyrenaica",IF(OR($D24="",$L24="",$J24="",$I24=""),"",(AB24+AC24*$L24)*EXP((AD24+AE24*$J24)*EXP(-(AF24+AG24*$I24)*$D24))),"")))),"")</f>
        <v/>
      </c>
      <c r="P24" s="15" t="str">
        <f aca="false">IFERROR(IF(OR($C24="",$D24="",$E24="",$G24=""),"",1.3+(AH24+AI24*$E24-AJ24*$G24)*EXP(-AK24/SQRT($D24))),"")</f>
        <v/>
      </c>
      <c r="Q24" s="15" t="str">
        <f aca="false">IFERROR(IF(OR($C24="",$D24=""),"",1.3+AL24*(LN(1+$D24))^AM24),"")</f>
        <v/>
      </c>
      <c r="S24" s="1" t="str">
        <f aca="false">IF($C24="","",VLOOKUP($C24,coefs!$A:$V,2,FALSE()))</f>
        <v/>
      </c>
      <c r="T24" s="1" t="str">
        <f aca="false">IF($C24="","",VLOOKUP($C24,coefs!$A:$V,3,FALSE()))</f>
        <v/>
      </c>
      <c r="U24" s="1" t="str">
        <f aca="false">IF($C24="","",VLOOKUP($C24,coefs!$A:$V,4,FALSE()))</f>
        <v/>
      </c>
      <c r="V24" s="1" t="str">
        <f aca="false">IF($C24="","",VLOOKUP($C24,coefs!$A:$V,5,FALSE()))</f>
        <v/>
      </c>
      <c r="W24" s="1" t="str">
        <f aca="false">IF($C24="","",VLOOKUP($C24,coefs!$A:$V,6,FALSE()))</f>
        <v/>
      </c>
      <c r="X24" s="1" t="str">
        <f aca="false">IF($C24="","",VLOOKUP($C24,coefs!$A:$V,7,FALSE()))</f>
        <v/>
      </c>
      <c r="Y24" s="1" t="str">
        <f aca="false">IF($C24="","",VLOOKUP($C24,coefs!$A:$V,8,FALSE()))</f>
        <v/>
      </c>
      <c r="Z24" s="1" t="str">
        <f aca="false">IF($C24="","",VLOOKUP($C24,coefs!$A:$V,9,FALSE()))</f>
        <v/>
      </c>
      <c r="AA24" s="1" t="str">
        <f aca="false">IF($C24="","",VLOOKUP($C24,coefs!$A:$V,10,FALSE()))</f>
        <v/>
      </c>
      <c r="AB24" s="1" t="str">
        <f aca="false">IF($C24="","",VLOOKUP($C24,coefs!$A:$V,11,FALSE()))</f>
        <v/>
      </c>
      <c r="AC24" s="1" t="str">
        <f aca="false">IF($C24="","",VLOOKUP($C24,coefs!$A:$V,12,FALSE()))</f>
        <v/>
      </c>
      <c r="AD24" s="1" t="str">
        <f aca="false">IF($C24="","",VLOOKUP($C24,coefs!$A:$V,13,FALSE()))</f>
        <v/>
      </c>
      <c r="AE24" s="1" t="str">
        <f aca="false">IF($C24="","",VLOOKUP($C24,coefs!$A:$V,14,FALSE()))</f>
        <v/>
      </c>
      <c r="AF24" s="1" t="str">
        <f aca="false">IF($C24="","",VLOOKUP($C24,coefs!$A:$V,15,FALSE()))</f>
        <v/>
      </c>
      <c r="AG24" s="1" t="str">
        <f aca="false">IF($C24="","",VLOOKUP($C24,coefs!$A:$V,16,FALSE()))</f>
        <v/>
      </c>
      <c r="AH24" s="1" t="str">
        <f aca="false">IF($C24="","",VLOOKUP($C24,coefs!$A:$V,17,FALSE()))</f>
        <v/>
      </c>
      <c r="AI24" s="1" t="str">
        <f aca="false">IF($C24="","",VLOOKUP($C24,coefs!$A:$V,18,FALSE()))</f>
        <v/>
      </c>
      <c r="AJ24" s="1" t="str">
        <f aca="false">IF($C24="","",VLOOKUP($C24,coefs!$A:$V,19,FALSE()))</f>
        <v/>
      </c>
      <c r="AK24" s="1" t="str">
        <f aca="false">IF($C24="","",VLOOKUP($C24,coefs!$A:$V,20,FALSE()))</f>
        <v/>
      </c>
      <c r="AL24" s="1" t="str">
        <f aca="false">IF($C24="","",VLOOKUP($C24,coefs!$A:$V,21,FALSE()))</f>
        <v/>
      </c>
      <c r="AM24" s="1" t="str">
        <f aca="false">IF($C24="","",VLOOKUP($C24,coefs!$A:$V,22,FALSE()))</f>
        <v/>
      </c>
    </row>
    <row r="25" customFormat="false" ht="15" hidden="false" customHeight="true" outlineLevel="0" collapsed="false">
      <c r="A25" s="14"/>
      <c r="B25" s="14"/>
      <c r="C25" s="14"/>
      <c r="D25" s="15"/>
      <c r="E25" s="16"/>
      <c r="F25" s="16"/>
      <c r="G25" s="16"/>
      <c r="H25" s="17"/>
      <c r="I25" s="16"/>
      <c r="J25" s="16"/>
      <c r="K25" s="17"/>
      <c r="L25" s="17"/>
      <c r="M25" s="15" t="str">
        <f aca="false">IFERROR(IF(OR($C25="",$D25=""),"",IF($C25="Pinus pinaster",S25/(1+T25*EXP(-U25*$D25)),IF($C25="Quercus pyrenaica",S25*EXP(T25*EXP(-U25*$D25)),1.3+EXP(S25*EXP(-T25*$D25^(-U25)))))),"")</f>
        <v/>
      </c>
      <c r="N25" s="15" t="str">
        <f aca="false">IFERROR(IF($C25="Pinus sylvestris",IF(OR($D25="",$E25="",$F25=""),"",1.3+EXP((V25+W25*$E25)*EXP(-(X25+Y25*$F25)*$D25^(-(Z25+AA25*$E25))))),IF($C25="Pinus nigra",IF(OR($D25="",$E25="",$F25="",$J25=""),"",1.3+EXP((V25+W25*$J25)*EXP(-(X25+Y25*$F25)*$D25^(-(Z25+AA25*$E25))))),IF($C25="Pinus pinaster",IF(OR($D25="",$E25="",$H25="",$F25=""),"",(V25+W25*$E25)/(1+(X25+Y25*$H25)*EXP(-(Z25+AA25*$F25)*$D25))),IF($C25="Quercus pyrenaica",IF(OR($D25="",$E25="",$G25="",$J25=""),"",(V25+W25*$E25)*EXP((X25+Y25*$G25)*EXP(-(Z25+AA25*$J25)*$D25))),"")))),"")</f>
        <v/>
      </c>
      <c r="O25" s="15" t="str">
        <f aca="false">IFERROR(IF($C25="Pinus sylvestris",IF(OR($D25="",$H25="",$I25="",$J25=""),"",1.3+EXP((AB25+AC25*$H25)*EXP(-(AD25+AE25*$I25)*$D25^(-(AF25+AG25*$J25))))),IF($C25="Pinus nigra",IF(OR($D25="",$H25="",$L25="",$I25=""),"",1.3+EXP((AB25+AC25*$H25)*EXP(-(AD25+AE25*$L25)*$D25^(-(AF25+AG25*$I25))))),IF($C25="Pinus pinaster",IF(OR($D25="",$I25="",$K25=""),"",(AB25+AC25*$I25)/(1+(AD25+AE25*$K25)*EXP(-(AF25+AG25*$I25)*$D25))),IF($C25="Quercus pyrenaica",IF(OR($D25="",$L25="",$J25="",$I25=""),"",(AB25+AC25*$L25)*EXP((AD25+AE25*$J25)*EXP(-(AF25+AG25*$I25)*$D25))),"")))),"")</f>
        <v/>
      </c>
      <c r="P25" s="15" t="str">
        <f aca="false">IFERROR(IF(OR($C25="",$D25="",$E25="",$G25=""),"",1.3+(AH25+AI25*$E25-AJ25*$G25)*EXP(-AK25/SQRT($D25))),"")</f>
        <v/>
      </c>
      <c r="Q25" s="15" t="str">
        <f aca="false">IFERROR(IF(OR($C25="",$D25=""),"",1.3+AL25*(LN(1+$D25))^AM25),"")</f>
        <v/>
      </c>
      <c r="S25" s="1" t="str">
        <f aca="false">IF($C25="","",VLOOKUP($C25,coefs!$A:$V,2,FALSE()))</f>
        <v/>
      </c>
      <c r="T25" s="1" t="str">
        <f aca="false">IF($C25="","",VLOOKUP($C25,coefs!$A:$V,3,FALSE()))</f>
        <v/>
      </c>
      <c r="U25" s="1" t="str">
        <f aca="false">IF($C25="","",VLOOKUP($C25,coefs!$A:$V,4,FALSE()))</f>
        <v/>
      </c>
      <c r="V25" s="1" t="str">
        <f aca="false">IF($C25="","",VLOOKUP($C25,coefs!$A:$V,5,FALSE()))</f>
        <v/>
      </c>
      <c r="W25" s="1" t="str">
        <f aca="false">IF($C25="","",VLOOKUP($C25,coefs!$A:$V,6,FALSE()))</f>
        <v/>
      </c>
      <c r="X25" s="1" t="str">
        <f aca="false">IF($C25="","",VLOOKUP($C25,coefs!$A:$V,7,FALSE()))</f>
        <v/>
      </c>
      <c r="Y25" s="1" t="str">
        <f aca="false">IF($C25="","",VLOOKUP($C25,coefs!$A:$V,8,FALSE()))</f>
        <v/>
      </c>
      <c r="Z25" s="1" t="str">
        <f aca="false">IF($C25="","",VLOOKUP($C25,coefs!$A:$V,9,FALSE()))</f>
        <v/>
      </c>
      <c r="AA25" s="1" t="str">
        <f aca="false">IF($C25="","",VLOOKUP($C25,coefs!$A:$V,10,FALSE()))</f>
        <v/>
      </c>
      <c r="AB25" s="1" t="str">
        <f aca="false">IF($C25="","",VLOOKUP($C25,coefs!$A:$V,11,FALSE()))</f>
        <v/>
      </c>
      <c r="AC25" s="1" t="str">
        <f aca="false">IF($C25="","",VLOOKUP($C25,coefs!$A:$V,12,FALSE()))</f>
        <v/>
      </c>
      <c r="AD25" s="1" t="str">
        <f aca="false">IF($C25="","",VLOOKUP($C25,coefs!$A:$V,13,FALSE()))</f>
        <v/>
      </c>
      <c r="AE25" s="1" t="str">
        <f aca="false">IF($C25="","",VLOOKUP($C25,coefs!$A:$V,14,FALSE()))</f>
        <v/>
      </c>
      <c r="AF25" s="1" t="str">
        <f aca="false">IF($C25="","",VLOOKUP($C25,coefs!$A:$V,15,FALSE()))</f>
        <v/>
      </c>
      <c r="AG25" s="1" t="str">
        <f aca="false">IF($C25="","",VLOOKUP($C25,coefs!$A:$V,16,FALSE()))</f>
        <v/>
      </c>
      <c r="AH25" s="1" t="str">
        <f aca="false">IF($C25="","",VLOOKUP($C25,coefs!$A:$V,17,FALSE()))</f>
        <v/>
      </c>
      <c r="AI25" s="1" t="str">
        <f aca="false">IF($C25="","",VLOOKUP($C25,coefs!$A:$V,18,FALSE()))</f>
        <v/>
      </c>
      <c r="AJ25" s="1" t="str">
        <f aca="false">IF($C25="","",VLOOKUP($C25,coefs!$A:$V,19,FALSE()))</f>
        <v/>
      </c>
      <c r="AK25" s="1" t="str">
        <f aca="false">IF($C25="","",VLOOKUP($C25,coefs!$A:$V,20,FALSE()))</f>
        <v/>
      </c>
      <c r="AL25" s="1" t="str">
        <f aca="false">IF($C25="","",VLOOKUP($C25,coefs!$A:$V,21,FALSE()))</f>
        <v/>
      </c>
      <c r="AM25" s="1" t="str">
        <f aca="false">IF($C25="","",VLOOKUP($C25,coefs!$A:$V,22,FALSE()))</f>
        <v/>
      </c>
    </row>
    <row r="26" customFormat="false" ht="15" hidden="false" customHeight="true" outlineLevel="0" collapsed="false">
      <c r="A26" s="14"/>
      <c r="B26" s="14"/>
      <c r="C26" s="14"/>
      <c r="D26" s="15"/>
      <c r="E26" s="16"/>
      <c r="F26" s="16"/>
      <c r="G26" s="16"/>
      <c r="H26" s="17"/>
      <c r="I26" s="16"/>
      <c r="J26" s="16"/>
      <c r="K26" s="17"/>
      <c r="L26" s="17"/>
      <c r="M26" s="15" t="str">
        <f aca="false">IFERROR(IF(OR($C26="",$D26=""),"",IF($C26="Pinus pinaster",S26/(1+T26*EXP(-U26*$D26)),IF($C26="Quercus pyrenaica",S26*EXP(T26*EXP(-U26*$D26)),1.3+EXP(S26*EXP(-T26*$D26^(-U26)))))),"")</f>
        <v/>
      </c>
      <c r="N26" s="15" t="str">
        <f aca="false">IFERROR(IF($C26="Pinus sylvestris",IF(OR($D26="",$E26="",$F26=""),"",1.3+EXP((V26+W26*$E26)*EXP(-(X26+Y26*$F26)*$D26^(-(Z26+AA26*$E26))))),IF($C26="Pinus nigra",IF(OR($D26="",$E26="",$F26="",$J26=""),"",1.3+EXP((V26+W26*$J26)*EXP(-(X26+Y26*$F26)*$D26^(-(Z26+AA26*$E26))))),IF($C26="Pinus pinaster",IF(OR($D26="",$E26="",$H26="",$F26=""),"",(V26+W26*$E26)/(1+(X26+Y26*$H26)*EXP(-(Z26+AA26*$F26)*$D26))),IF($C26="Quercus pyrenaica",IF(OR($D26="",$E26="",$G26="",$J26=""),"",(V26+W26*$E26)*EXP((X26+Y26*$G26)*EXP(-(Z26+AA26*$J26)*$D26))),"")))),"")</f>
        <v/>
      </c>
      <c r="O26" s="15" t="str">
        <f aca="false">IFERROR(IF($C26="Pinus sylvestris",IF(OR($D26="",$H26="",$I26="",$J26=""),"",1.3+EXP((AB26+AC26*$H26)*EXP(-(AD26+AE26*$I26)*$D26^(-(AF26+AG26*$J26))))),IF($C26="Pinus nigra",IF(OR($D26="",$H26="",$L26="",$I26=""),"",1.3+EXP((AB26+AC26*$H26)*EXP(-(AD26+AE26*$L26)*$D26^(-(AF26+AG26*$I26))))),IF($C26="Pinus pinaster",IF(OR($D26="",$I26="",$K26=""),"",(AB26+AC26*$I26)/(1+(AD26+AE26*$K26)*EXP(-(AF26+AG26*$I26)*$D26))),IF($C26="Quercus pyrenaica",IF(OR($D26="",$L26="",$J26="",$I26=""),"",(AB26+AC26*$L26)*EXP((AD26+AE26*$J26)*EXP(-(AF26+AG26*$I26)*$D26))),"")))),"")</f>
        <v/>
      </c>
      <c r="P26" s="15" t="str">
        <f aca="false">IFERROR(IF(OR($C26="",$D26="",$E26="",$G26=""),"",1.3+(AH26+AI26*$E26-AJ26*$G26)*EXP(-AK26/SQRT($D26))),"")</f>
        <v/>
      </c>
      <c r="Q26" s="15" t="str">
        <f aca="false">IFERROR(IF(OR($C26="",$D26=""),"",1.3+AL26*(LN(1+$D26))^AM26),"")</f>
        <v/>
      </c>
      <c r="S26" s="1" t="str">
        <f aca="false">IF($C26="","",VLOOKUP($C26,coefs!$A:$V,2,FALSE()))</f>
        <v/>
      </c>
      <c r="T26" s="1" t="str">
        <f aca="false">IF($C26="","",VLOOKUP($C26,coefs!$A:$V,3,FALSE()))</f>
        <v/>
      </c>
      <c r="U26" s="1" t="str">
        <f aca="false">IF($C26="","",VLOOKUP($C26,coefs!$A:$V,4,FALSE()))</f>
        <v/>
      </c>
      <c r="V26" s="1" t="str">
        <f aca="false">IF($C26="","",VLOOKUP($C26,coefs!$A:$V,5,FALSE()))</f>
        <v/>
      </c>
      <c r="W26" s="1" t="str">
        <f aca="false">IF($C26="","",VLOOKUP($C26,coefs!$A:$V,6,FALSE()))</f>
        <v/>
      </c>
      <c r="X26" s="1" t="str">
        <f aca="false">IF($C26="","",VLOOKUP($C26,coefs!$A:$V,7,FALSE()))</f>
        <v/>
      </c>
      <c r="Y26" s="1" t="str">
        <f aca="false">IF($C26="","",VLOOKUP($C26,coefs!$A:$V,8,FALSE()))</f>
        <v/>
      </c>
      <c r="Z26" s="1" t="str">
        <f aca="false">IF($C26="","",VLOOKUP($C26,coefs!$A:$V,9,FALSE()))</f>
        <v/>
      </c>
      <c r="AA26" s="1" t="str">
        <f aca="false">IF($C26="","",VLOOKUP($C26,coefs!$A:$V,10,FALSE()))</f>
        <v/>
      </c>
      <c r="AB26" s="1" t="str">
        <f aca="false">IF($C26="","",VLOOKUP($C26,coefs!$A:$V,11,FALSE()))</f>
        <v/>
      </c>
      <c r="AC26" s="1" t="str">
        <f aca="false">IF($C26="","",VLOOKUP($C26,coefs!$A:$V,12,FALSE()))</f>
        <v/>
      </c>
      <c r="AD26" s="1" t="str">
        <f aca="false">IF($C26="","",VLOOKUP($C26,coefs!$A:$V,13,FALSE()))</f>
        <v/>
      </c>
      <c r="AE26" s="1" t="str">
        <f aca="false">IF($C26="","",VLOOKUP($C26,coefs!$A:$V,14,FALSE()))</f>
        <v/>
      </c>
      <c r="AF26" s="1" t="str">
        <f aca="false">IF($C26="","",VLOOKUP($C26,coefs!$A:$V,15,FALSE()))</f>
        <v/>
      </c>
      <c r="AG26" s="1" t="str">
        <f aca="false">IF($C26="","",VLOOKUP($C26,coefs!$A:$V,16,FALSE()))</f>
        <v/>
      </c>
      <c r="AH26" s="1" t="str">
        <f aca="false">IF($C26="","",VLOOKUP($C26,coefs!$A:$V,17,FALSE()))</f>
        <v/>
      </c>
      <c r="AI26" s="1" t="str">
        <f aca="false">IF($C26="","",VLOOKUP($C26,coefs!$A:$V,18,FALSE()))</f>
        <v/>
      </c>
      <c r="AJ26" s="1" t="str">
        <f aca="false">IF($C26="","",VLOOKUP($C26,coefs!$A:$V,19,FALSE()))</f>
        <v/>
      </c>
      <c r="AK26" s="1" t="str">
        <f aca="false">IF($C26="","",VLOOKUP($C26,coefs!$A:$V,20,FALSE()))</f>
        <v/>
      </c>
      <c r="AL26" s="1" t="str">
        <f aca="false">IF($C26="","",VLOOKUP($C26,coefs!$A:$V,21,FALSE()))</f>
        <v/>
      </c>
      <c r="AM26" s="1" t="str">
        <f aca="false">IF($C26="","",VLOOKUP($C26,coefs!$A:$V,22,FALSE()))</f>
        <v/>
      </c>
    </row>
    <row r="27" customFormat="false" ht="15" hidden="false" customHeight="true" outlineLevel="0" collapsed="false">
      <c r="A27" s="14"/>
      <c r="B27" s="14"/>
      <c r="C27" s="14"/>
      <c r="D27" s="15"/>
      <c r="E27" s="16"/>
      <c r="F27" s="16"/>
      <c r="G27" s="16"/>
      <c r="H27" s="17"/>
      <c r="I27" s="16"/>
      <c r="J27" s="16"/>
      <c r="K27" s="17"/>
      <c r="L27" s="17"/>
      <c r="M27" s="15" t="str">
        <f aca="false">IFERROR(IF(OR($C27="",$D27=""),"",IF($C27="Pinus pinaster",S27/(1+T27*EXP(-U27*$D27)),IF($C27="Quercus pyrenaica",S27*EXP(T27*EXP(-U27*$D27)),1.3+EXP(S27*EXP(-T27*$D27^(-U27)))))),"")</f>
        <v/>
      </c>
      <c r="N27" s="15" t="str">
        <f aca="false">IFERROR(IF($C27="Pinus sylvestris",IF(OR($D27="",$E27="",$F27=""),"",1.3+EXP((V27+W27*$E27)*EXP(-(X27+Y27*$F27)*$D27^(-(Z27+AA27*$E27))))),IF($C27="Pinus nigra",IF(OR($D27="",$E27="",$F27="",$J27=""),"",1.3+EXP((V27+W27*$J27)*EXP(-(X27+Y27*$F27)*$D27^(-(Z27+AA27*$E27))))),IF($C27="Pinus pinaster",IF(OR($D27="",$E27="",$H27="",$F27=""),"",(V27+W27*$E27)/(1+(X27+Y27*$H27)*EXP(-(Z27+AA27*$F27)*$D27))),IF($C27="Quercus pyrenaica",IF(OR($D27="",$E27="",$G27="",$J27=""),"",(V27+W27*$E27)*EXP((X27+Y27*$G27)*EXP(-(Z27+AA27*$J27)*$D27))),"")))),"")</f>
        <v/>
      </c>
      <c r="O27" s="15" t="str">
        <f aca="false">IFERROR(IF($C27="Pinus sylvestris",IF(OR($D27="",$H27="",$I27="",$J27=""),"",1.3+EXP((AB27+AC27*$H27)*EXP(-(AD27+AE27*$I27)*$D27^(-(AF27+AG27*$J27))))),IF($C27="Pinus nigra",IF(OR($D27="",$H27="",$L27="",$I27=""),"",1.3+EXP((AB27+AC27*$H27)*EXP(-(AD27+AE27*$L27)*$D27^(-(AF27+AG27*$I27))))),IF($C27="Pinus pinaster",IF(OR($D27="",$I27="",$K27=""),"",(AB27+AC27*$I27)/(1+(AD27+AE27*$K27)*EXP(-(AF27+AG27*$I27)*$D27))),IF($C27="Quercus pyrenaica",IF(OR($D27="",$L27="",$J27="",$I27=""),"",(AB27+AC27*$L27)*EXP((AD27+AE27*$J27)*EXP(-(AF27+AG27*$I27)*$D27))),"")))),"")</f>
        <v/>
      </c>
      <c r="P27" s="15" t="str">
        <f aca="false">IFERROR(IF(OR($C27="",$D27="",$E27="",$G27=""),"",1.3+(AH27+AI27*$E27-AJ27*$G27)*EXP(-AK27/SQRT($D27))),"")</f>
        <v/>
      </c>
      <c r="Q27" s="15" t="str">
        <f aca="false">IFERROR(IF(OR($C27="",$D27=""),"",1.3+AL27*(LN(1+$D27))^AM27),"")</f>
        <v/>
      </c>
      <c r="S27" s="1" t="str">
        <f aca="false">IF($C27="","",VLOOKUP($C27,coefs!$A:$V,2,FALSE()))</f>
        <v/>
      </c>
      <c r="T27" s="1" t="str">
        <f aca="false">IF($C27="","",VLOOKUP($C27,coefs!$A:$V,3,FALSE()))</f>
        <v/>
      </c>
      <c r="U27" s="1" t="str">
        <f aca="false">IF($C27="","",VLOOKUP($C27,coefs!$A:$V,4,FALSE()))</f>
        <v/>
      </c>
      <c r="V27" s="1" t="str">
        <f aca="false">IF($C27="","",VLOOKUP($C27,coefs!$A:$V,5,FALSE()))</f>
        <v/>
      </c>
      <c r="W27" s="1" t="str">
        <f aca="false">IF($C27="","",VLOOKUP($C27,coefs!$A:$V,6,FALSE()))</f>
        <v/>
      </c>
      <c r="X27" s="1" t="str">
        <f aca="false">IF($C27="","",VLOOKUP($C27,coefs!$A:$V,7,FALSE()))</f>
        <v/>
      </c>
      <c r="Y27" s="1" t="str">
        <f aca="false">IF($C27="","",VLOOKUP($C27,coefs!$A:$V,8,FALSE()))</f>
        <v/>
      </c>
      <c r="Z27" s="1" t="str">
        <f aca="false">IF($C27="","",VLOOKUP($C27,coefs!$A:$V,9,FALSE()))</f>
        <v/>
      </c>
      <c r="AA27" s="1" t="str">
        <f aca="false">IF($C27="","",VLOOKUP($C27,coefs!$A:$V,10,FALSE()))</f>
        <v/>
      </c>
      <c r="AB27" s="1" t="str">
        <f aca="false">IF($C27="","",VLOOKUP($C27,coefs!$A:$V,11,FALSE()))</f>
        <v/>
      </c>
      <c r="AC27" s="1" t="str">
        <f aca="false">IF($C27="","",VLOOKUP($C27,coefs!$A:$V,12,FALSE()))</f>
        <v/>
      </c>
      <c r="AD27" s="1" t="str">
        <f aca="false">IF($C27="","",VLOOKUP($C27,coefs!$A:$V,13,FALSE()))</f>
        <v/>
      </c>
      <c r="AE27" s="1" t="str">
        <f aca="false">IF($C27="","",VLOOKUP($C27,coefs!$A:$V,14,FALSE()))</f>
        <v/>
      </c>
      <c r="AF27" s="1" t="str">
        <f aca="false">IF($C27="","",VLOOKUP($C27,coefs!$A:$V,15,FALSE()))</f>
        <v/>
      </c>
      <c r="AG27" s="1" t="str">
        <f aca="false">IF($C27="","",VLOOKUP($C27,coefs!$A:$V,16,FALSE()))</f>
        <v/>
      </c>
      <c r="AH27" s="1" t="str">
        <f aca="false">IF($C27="","",VLOOKUP($C27,coefs!$A:$V,17,FALSE()))</f>
        <v/>
      </c>
      <c r="AI27" s="1" t="str">
        <f aca="false">IF($C27="","",VLOOKUP($C27,coefs!$A:$V,18,FALSE()))</f>
        <v/>
      </c>
      <c r="AJ27" s="1" t="str">
        <f aca="false">IF($C27="","",VLOOKUP($C27,coefs!$A:$V,19,FALSE()))</f>
        <v/>
      </c>
      <c r="AK27" s="1" t="str">
        <f aca="false">IF($C27="","",VLOOKUP($C27,coefs!$A:$V,20,FALSE()))</f>
        <v/>
      </c>
      <c r="AL27" s="1" t="str">
        <f aca="false">IF($C27="","",VLOOKUP($C27,coefs!$A:$V,21,FALSE()))</f>
        <v/>
      </c>
      <c r="AM27" s="1" t="str">
        <f aca="false">IF($C27="","",VLOOKUP($C27,coefs!$A:$V,22,FALSE()))</f>
        <v/>
      </c>
    </row>
    <row r="28" customFormat="false" ht="15" hidden="false" customHeight="true" outlineLevel="0" collapsed="false">
      <c r="A28" s="14"/>
      <c r="B28" s="14"/>
      <c r="C28" s="14"/>
      <c r="D28" s="15"/>
      <c r="E28" s="16"/>
      <c r="F28" s="16"/>
      <c r="G28" s="16"/>
      <c r="H28" s="17"/>
      <c r="I28" s="16"/>
      <c r="J28" s="16"/>
      <c r="K28" s="17"/>
      <c r="L28" s="17"/>
      <c r="M28" s="15" t="str">
        <f aca="false">IFERROR(IF(OR($C28="",$D28=""),"",IF($C28="Pinus pinaster",S28/(1+T28*EXP(-U28*$D28)),IF($C28="Quercus pyrenaica",S28*EXP(T28*EXP(-U28*$D28)),1.3+EXP(S28*EXP(-T28*$D28^(-U28)))))),"")</f>
        <v/>
      </c>
      <c r="N28" s="15" t="str">
        <f aca="false">IFERROR(IF($C28="Pinus sylvestris",IF(OR($D28="",$E28="",$F28=""),"",1.3+EXP((V28+W28*$E28)*EXP(-(X28+Y28*$F28)*$D28^(-(Z28+AA28*$E28))))),IF($C28="Pinus nigra",IF(OR($D28="",$E28="",$F28="",$J28=""),"",1.3+EXP((V28+W28*$J28)*EXP(-(X28+Y28*$F28)*$D28^(-(Z28+AA28*$E28))))),IF($C28="Pinus pinaster",IF(OR($D28="",$E28="",$H28="",$F28=""),"",(V28+W28*$E28)/(1+(X28+Y28*$H28)*EXP(-(Z28+AA28*$F28)*$D28))),IF($C28="Quercus pyrenaica",IF(OR($D28="",$E28="",$G28="",$J28=""),"",(V28+W28*$E28)*EXP((X28+Y28*$G28)*EXP(-(Z28+AA28*$J28)*$D28))),"")))),"")</f>
        <v/>
      </c>
      <c r="O28" s="15" t="str">
        <f aca="false">IFERROR(IF($C28="Pinus sylvestris",IF(OR($D28="",$H28="",$I28="",$J28=""),"",1.3+EXP((AB28+AC28*$H28)*EXP(-(AD28+AE28*$I28)*$D28^(-(AF28+AG28*$J28))))),IF($C28="Pinus nigra",IF(OR($D28="",$H28="",$L28="",$I28=""),"",1.3+EXP((AB28+AC28*$H28)*EXP(-(AD28+AE28*$L28)*$D28^(-(AF28+AG28*$I28))))),IF($C28="Pinus pinaster",IF(OR($D28="",$I28="",$K28=""),"",(AB28+AC28*$I28)/(1+(AD28+AE28*$K28)*EXP(-(AF28+AG28*$I28)*$D28))),IF($C28="Quercus pyrenaica",IF(OR($D28="",$L28="",$J28="",$I28=""),"",(AB28+AC28*$L28)*EXP((AD28+AE28*$J28)*EXP(-(AF28+AG28*$I28)*$D28))),"")))),"")</f>
        <v/>
      </c>
      <c r="P28" s="15" t="str">
        <f aca="false">IFERROR(IF(OR($C28="",$D28="",$E28="",$G28=""),"",1.3+(AH28+AI28*$E28-AJ28*$G28)*EXP(-AK28/SQRT($D28))),"")</f>
        <v/>
      </c>
      <c r="Q28" s="15" t="str">
        <f aca="false">IFERROR(IF(OR($C28="",$D28=""),"",1.3+AL28*(LN(1+$D28))^AM28),"")</f>
        <v/>
      </c>
      <c r="S28" s="1" t="str">
        <f aca="false">IF($C28="","",VLOOKUP($C28,coefs!$A:$V,2,FALSE()))</f>
        <v/>
      </c>
      <c r="T28" s="1" t="str">
        <f aca="false">IF($C28="","",VLOOKUP($C28,coefs!$A:$V,3,FALSE()))</f>
        <v/>
      </c>
      <c r="U28" s="1" t="str">
        <f aca="false">IF($C28="","",VLOOKUP($C28,coefs!$A:$V,4,FALSE()))</f>
        <v/>
      </c>
      <c r="V28" s="1" t="str">
        <f aca="false">IF($C28="","",VLOOKUP($C28,coefs!$A:$V,5,FALSE()))</f>
        <v/>
      </c>
      <c r="W28" s="1" t="str">
        <f aca="false">IF($C28="","",VLOOKUP($C28,coefs!$A:$V,6,FALSE()))</f>
        <v/>
      </c>
      <c r="X28" s="1" t="str">
        <f aca="false">IF($C28="","",VLOOKUP($C28,coefs!$A:$V,7,FALSE()))</f>
        <v/>
      </c>
      <c r="Y28" s="1" t="str">
        <f aca="false">IF($C28="","",VLOOKUP($C28,coefs!$A:$V,8,FALSE()))</f>
        <v/>
      </c>
      <c r="Z28" s="1" t="str">
        <f aca="false">IF($C28="","",VLOOKUP($C28,coefs!$A:$V,9,FALSE()))</f>
        <v/>
      </c>
      <c r="AA28" s="1" t="str">
        <f aca="false">IF($C28="","",VLOOKUP($C28,coefs!$A:$V,10,FALSE()))</f>
        <v/>
      </c>
      <c r="AB28" s="1" t="str">
        <f aca="false">IF($C28="","",VLOOKUP($C28,coefs!$A:$V,11,FALSE()))</f>
        <v/>
      </c>
      <c r="AC28" s="1" t="str">
        <f aca="false">IF($C28="","",VLOOKUP($C28,coefs!$A:$V,12,FALSE()))</f>
        <v/>
      </c>
      <c r="AD28" s="1" t="str">
        <f aca="false">IF($C28="","",VLOOKUP($C28,coefs!$A:$V,13,FALSE()))</f>
        <v/>
      </c>
      <c r="AE28" s="1" t="str">
        <f aca="false">IF($C28="","",VLOOKUP($C28,coefs!$A:$V,14,FALSE()))</f>
        <v/>
      </c>
      <c r="AF28" s="1" t="str">
        <f aca="false">IF($C28="","",VLOOKUP($C28,coefs!$A:$V,15,FALSE()))</f>
        <v/>
      </c>
      <c r="AG28" s="1" t="str">
        <f aca="false">IF($C28="","",VLOOKUP($C28,coefs!$A:$V,16,FALSE()))</f>
        <v/>
      </c>
      <c r="AH28" s="1" t="str">
        <f aca="false">IF($C28="","",VLOOKUP($C28,coefs!$A:$V,17,FALSE()))</f>
        <v/>
      </c>
      <c r="AI28" s="1" t="str">
        <f aca="false">IF($C28="","",VLOOKUP($C28,coefs!$A:$V,18,FALSE()))</f>
        <v/>
      </c>
      <c r="AJ28" s="1" t="str">
        <f aca="false">IF($C28="","",VLOOKUP($C28,coefs!$A:$V,19,FALSE()))</f>
        <v/>
      </c>
      <c r="AK28" s="1" t="str">
        <f aca="false">IF($C28="","",VLOOKUP($C28,coefs!$A:$V,20,FALSE()))</f>
        <v/>
      </c>
      <c r="AL28" s="1" t="str">
        <f aca="false">IF($C28="","",VLOOKUP($C28,coefs!$A:$V,21,FALSE()))</f>
        <v/>
      </c>
      <c r="AM28" s="1" t="str">
        <f aca="false">IF($C28="","",VLOOKUP($C28,coefs!$A:$V,22,FALSE()))</f>
        <v/>
      </c>
    </row>
    <row r="29" customFormat="false" ht="15" hidden="false" customHeight="true" outlineLevel="0" collapsed="false">
      <c r="A29" s="14"/>
      <c r="B29" s="14"/>
      <c r="C29" s="14"/>
      <c r="D29" s="15"/>
      <c r="E29" s="16"/>
      <c r="F29" s="16"/>
      <c r="G29" s="16"/>
      <c r="H29" s="17"/>
      <c r="I29" s="16"/>
      <c r="J29" s="16"/>
      <c r="K29" s="17"/>
      <c r="L29" s="17"/>
      <c r="M29" s="15" t="str">
        <f aca="false">IFERROR(IF(OR($C29="",$D29=""),"",IF($C29="Pinus pinaster",S29/(1+T29*EXP(-U29*$D29)),IF($C29="Quercus pyrenaica",S29*EXP(T29*EXP(-U29*$D29)),1.3+EXP(S29*EXP(-T29*$D29^(-U29)))))),"")</f>
        <v/>
      </c>
      <c r="N29" s="15" t="str">
        <f aca="false">IFERROR(IF($C29="Pinus sylvestris",IF(OR($D29="",$E29="",$F29=""),"",1.3+EXP((V29+W29*$E29)*EXP(-(X29+Y29*$F29)*$D29^(-(Z29+AA29*$E29))))),IF($C29="Pinus nigra",IF(OR($D29="",$E29="",$F29="",$J29=""),"",1.3+EXP((V29+W29*$J29)*EXP(-(X29+Y29*$F29)*$D29^(-(Z29+AA29*$E29))))),IF($C29="Pinus pinaster",IF(OR($D29="",$E29="",$H29="",$F29=""),"",(V29+W29*$E29)/(1+(X29+Y29*$H29)*EXP(-(Z29+AA29*$F29)*$D29))),IF($C29="Quercus pyrenaica",IF(OR($D29="",$E29="",$G29="",$J29=""),"",(V29+W29*$E29)*EXP((X29+Y29*$G29)*EXP(-(Z29+AA29*$J29)*$D29))),"")))),"")</f>
        <v/>
      </c>
      <c r="O29" s="15" t="str">
        <f aca="false">IFERROR(IF($C29="Pinus sylvestris",IF(OR($D29="",$H29="",$I29="",$J29=""),"",1.3+EXP((AB29+AC29*$H29)*EXP(-(AD29+AE29*$I29)*$D29^(-(AF29+AG29*$J29))))),IF($C29="Pinus nigra",IF(OR($D29="",$H29="",$L29="",$I29=""),"",1.3+EXP((AB29+AC29*$H29)*EXP(-(AD29+AE29*$L29)*$D29^(-(AF29+AG29*$I29))))),IF($C29="Pinus pinaster",IF(OR($D29="",$I29="",$K29=""),"",(AB29+AC29*$I29)/(1+(AD29+AE29*$K29)*EXP(-(AF29+AG29*$I29)*$D29))),IF($C29="Quercus pyrenaica",IF(OR($D29="",$L29="",$J29="",$I29=""),"",(AB29+AC29*$L29)*EXP((AD29+AE29*$J29)*EXP(-(AF29+AG29*$I29)*$D29))),"")))),"")</f>
        <v/>
      </c>
      <c r="P29" s="15" t="str">
        <f aca="false">IFERROR(IF(OR($C29="",$D29="",$E29="",$G29=""),"",1.3+(AH29+AI29*$E29-AJ29*$G29)*EXP(-AK29/SQRT($D29))),"")</f>
        <v/>
      </c>
      <c r="Q29" s="15" t="str">
        <f aca="false">IFERROR(IF(OR($C29="",$D29=""),"",1.3+AL29*(LN(1+$D29))^AM29),"")</f>
        <v/>
      </c>
      <c r="S29" s="1" t="str">
        <f aca="false">IF($C29="","",VLOOKUP($C29,coefs!$A:$V,2,FALSE()))</f>
        <v/>
      </c>
      <c r="T29" s="1" t="str">
        <f aca="false">IF($C29="","",VLOOKUP($C29,coefs!$A:$V,3,FALSE()))</f>
        <v/>
      </c>
      <c r="U29" s="1" t="str">
        <f aca="false">IF($C29="","",VLOOKUP($C29,coefs!$A:$V,4,FALSE()))</f>
        <v/>
      </c>
      <c r="V29" s="1" t="str">
        <f aca="false">IF($C29="","",VLOOKUP($C29,coefs!$A:$V,5,FALSE()))</f>
        <v/>
      </c>
      <c r="W29" s="1" t="str">
        <f aca="false">IF($C29="","",VLOOKUP($C29,coefs!$A:$V,6,FALSE()))</f>
        <v/>
      </c>
      <c r="X29" s="1" t="str">
        <f aca="false">IF($C29="","",VLOOKUP($C29,coefs!$A:$V,7,FALSE()))</f>
        <v/>
      </c>
      <c r="Y29" s="1" t="str">
        <f aca="false">IF($C29="","",VLOOKUP($C29,coefs!$A:$V,8,FALSE()))</f>
        <v/>
      </c>
      <c r="Z29" s="1" t="str">
        <f aca="false">IF($C29="","",VLOOKUP($C29,coefs!$A:$V,9,FALSE()))</f>
        <v/>
      </c>
      <c r="AA29" s="1" t="str">
        <f aca="false">IF($C29="","",VLOOKUP($C29,coefs!$A:$V,10,FALSE()))</f>
        <v/>
      </c>
      <c r="AB29" s="1" t="str">
        <f aca="false">IF($C29="","",VLOOKUP($C29,coefs!$A:$V,11,FALSE()))</f>
        <v/>
      </c>
      <c r="AC29" s="1" t="str">
        <f aca="false">IF($C29="","",VLOOKUP($C29,coefs!$A:$V,12,FALSE()))</f>
        <v/>
      </c>
      <c r="AD29" s="1" t="str">
        <f aca="false">IF($C29="","",VLOOKUP($C29,coefs!$A:$V,13,FALSE()))</f>
        <v/>
      </c>
      <c r="AE29" s="1" t="str">
        <f aca="false">IF($C29="","",VLOOKUP($C29,coefs!$A:$V,14,FALSE()))</f>
        <v/>
      </c>
      <c r="AF29" s="1" t="str">
        <f aca="false">IF($C29="","",VLOOKUP($C29,coefs!$A:$V,15,FALSE()))</f>
        <v/>
      </c>
      <c r="AG29" s="1" t="str">
        <f aca="false">IF($C29="","",VLOOKUP($C29,coefs!$A:$V,16,FALSE()))</f>
        <v/>
      </c>
      <c r="AH29" s="1" t="str">
        <f aca="false">IF($C29="","",VLOOKUP($C29,coefs!$A:$V,17,FALSE()))</f>
        <v/>
      </c>
      <c r="AI29" s="1" t="str">
        <f aca="false">IF($C29="","",VLOOKUP($C29,coefs!$A:$V,18,FALSE()))</f>
        <v/>
      </c>
      <c r="AJ29" s="1" t="str">
        <f aca="false">IF($C29="","",VLOOKUP($C29,coefs!$A:$V,19,FALSE()))</f>
        <v/>
      </c>
      <c r="AK29" s="1" t="str">
        <f aca="false">IF($C29="","",VLOOKUP($C29,coefs!$A:$V,20,FALSE()))</f>
        <v/>
      </c>
      <c r="AL29" s="1" t="str">
        <f aca="false">IF($C29="","",VLOOKUP($C29,coefs!$A:$V,21,FALSE()))</f>
        <v/>
      </c>
      <c r="AM29" s="1" t="str">
        <f aca="false">IF($C29="","",VLOOKUP($C29,coefs!$A:$V,22,FALSE()))</f>
        <v/>
      </c>
    </row>
    <row r="30" customFormat="false" ht="15" hidden="false" customHeight="true" outlineLevel="0" collapsed="false">
      <c r="A30" s="14"/>
      <c r="B30" s="14"/>
      <c r="C30" s="14"/>
      <c r="D30" s="15"/>
      <c r="E30" s="16"/>
      <c r="F30" s="16"/>
      <c r="G30" s="16"/>
      <c r="H30" s="17"/>
      <c r="I30" s="16"/>
      <c r="J30" s="16"/>
      <c r="K30" s="17"/>
      <c r="L30" s="17"/>
      <c r="M30" s="15" t="str">
        <f aca="false">IFERROR(IF(OR($C30="",$D30=""),"",IF($C30="Pinus pinaster",S30/(1+T30*EXP(-U30*$D30)),IF($C30="Quercus pyrenaica",S30*EXP(T30*EXP(-U30*$D30)),1.3+EXP(S30*EXP(-T30*$D30^(-U30)))))),"")</f>
        <v/>
      </c>
      <c r="N30" s="15" t="str">
        <f aca="false">IFERROR(IF($C30="Pinus sylvestris",IF(OR($D30="",$E30="",$F30=""),"",1.3+EXP((V30+W30*$E30)*EXP(-(X30+Y30*$F30)*$D30^(-(Z30+AA30*$E30))))),IF($C30="Pinus nigra",IF(OR($D30="",$E30="",$F30="",$J30=""),"",1.3+EXP((V30+W30*$J30)*EXP(-(X30+Y30*$F30)*$D30^(-(Z30+AA30*$E30))))),IF($C30="Pinus pinaster",IF(OR($D30="",$E30="",$H30="",$F30=""),"",(V30+W30*$E30)/(1+(X30+Y30*$H30)*EXP(-(Z30+AA30*$F30)*$D30))),IF($C30="Quercus pyrenaica",IF(OR($D30="",$E30="",$G30="",$J30=""),"",(V30+W30*$E30)*EXP((X30+Y30*$G30)*EXP(-(Z30+AA30*$J30)*$D30))),"")))),"")</f>
        <v/>
      </c>
      <c r="O30" s="15" t="str">
        <f aca="false">IFERROR(IF($C30="Pinus sylvestris",IF(OR($D30="",$H30="",$I30="",$J30=""),"",1.3+EXP((AB30+AC30*$H30)*EXP(-(AD30+AE30*$I30)*$D30^(-(AF30+AG30*$J30))))),IF($C30="Pinus nigra",IF(OR($D30="",$H30="",$L30="",$I30=""),"",1.3+EXP((AB30+AC30*$H30)*EXP(-(AD30+AE30*$L30)*$D30^(-(AF30+AG30*$I30))))),IF($C30="Pinus pinaster",IF(OR($D30="",$I30="",$K30=""),"",(AB30+AC30*$I30)/(1+(AD30+AE30*$K30)*EXP(-(AF30+AG30*$I30)*$D30))),IF($C30="Quercus pyrenaica",IF(OR($D30="",$L30="",$J30="",$I30=""),"",(AB30+AC30*$L30)*EXP((AD30+AE30*$J30)*EXP(-(AF30+AG30*$I30)*$D30))),"")))),"")</f>
        <v/>
      </c>
      <c r="P30" s="15" t="str">
        <f aca="false">IFERROR(IF(OR($C30="",$D30="",$E30="",$G30=""),"",1.3+(AH30+AI30*$E30-AJ30*$G30)*EXP(-AK30/SQRT($D30))),"")</f>
        <v/>
      </c>
      <c r="Q30" s="15" t="str">
        <f aca="false">IFERROR(IF(OR($C30="",$D30=""),"",1.3+AL30*(LN(1+$D30))^AM30),"")</f>
        <v/>
      </c>
      <c r="S30" s="1" t="str">
        <f aca="false">IF($C30="","",VLOOKUP($C30,coefs!$A:$V,2,FALSE()))</f>
        <v/>
      </c>
      <c r="T30" s="1" t="str">
        <f aca="false">IF($C30="","",VLOOKUP($C30,coefs!$A:$V,3,FALSE()))</f>
        <v/>
      </c>
      <c r="U30" s="1" t="str">
        <f aca="false">IF($C30="","",VLOOKUP($C30,coefs!$A:$V,4,FALSE()))</f>
        <v/>
      </c>
      <c r="V30" s="1" t="str">
        <f aca="false">IF($C30="","",VLOOKUP($C30,coefs!$A:$V,5,FALSE()))</f>
        <v/>
      </c>
      <c r="W30" s="1" t="str">
        <f aca="false">IF($C30="","",VLOOKUP($C30,coefs!$A:$V,6,FALSE()))</f>
        <v/>
      </c>
      <c r="X30" s="1" t="str">
        <f aca="false">IF($C30="","",VLOOKUP($C30,coefs!$A:$V,7,FALSE()))</f>
        <v/>
      </c>
      <c r="Y30" s="1" t="str">
        <f aca="false">IF($C30="","",VLOOKUP($C30,coefs!$A:$V,8,FALSE()))</f>
        <v/>
      </c>
      <c r="Z30" s="1" t="str">
        <f aca="false">IF($C30="","",VLOOKUP($C30,coefs!$A:$V,9,FALSE()))</f>
        <v/>
      </c>
      <c r="AA30" s="1" t="str">
        <f aca="false">IF($C30="","",VLOOKUP($C30,coefs!$A:$V,10,FALSE()))</f>
        <v/>
      </c>
      <c r="AB30" s="1" t="str">
        <f aca="false">IF($C30="","",VLOOKUP($C30,coefs!$A:$V,11,FALSE()))</f>
        <v/>
      </c>
      <c r="AC30" s="1" t="str">
        <f aca="false">IF($C30="","",VLOOKUP($C30,coefs!$A:$V,12,FALSE()))</f>
        <v/>
      </c>
      <c r="AD30" s="1" t="str">
        <f aca="false">IF($C30="","",VLOOKUP($C30,coefs!$A:$V,13,FALSE()))</f>
        <v/>
      </c>
      <c r="AE30" s="1" t="str">
        <f aca="false">IF($C30="","",VLOOKUP($C30,coefs!$A:$V,14,FALSE()))</f>
        <v/>
      </c>
      <c r="AF30" s="1" t="str">
        <f aca="false">IF($C30="","",VLOOKUP($C30,coefs!$A:$V,15,FALSE()))</f>
        <v/>
      </c>
      <c r="AG30" s="1" t="str">
        <f aca="false">IF($C30="","",VLOOKUP($C30,coefs!$A:$V,16,FALSE()))</f>
        <v/>
      </c>
      <c r="AH30" s="1" t="str">
        <f aca="false">IF($C30="","",VLOOKUP($C30,coefs!$A:$V,17,FALSE()))</f>
        <v/>
      </c>
      <c r="AI30" s="1" t="str">
        <f aca="false">IF($C30="","",VLOOKUP($C30,coefs!$A:$V,18,FALSE()))</f>
        <v/>
      </c>
      <c r="AJ30" s="1" t="str">
        <f aca="false">IF($C30="","",VLOOKUP($C30,coefs!$A:$V,19,FALSE()))</f>
        <v/>
      </c>
      <c r="AK30" s="1" t="str">
        <f aca="false">IF($C30="","",VLOOKUP($C30,coefs!$A:$V,20,FALSE()))</f>
        <v/>
      </c>
      <c r="AL30" s="1" t="str">
        <f aca="false">IF($C30="","",VLOOKUP($C30,coefs!$A:$V,21,FALSE()))</f>
        <v/>
      </c>
      <c r="AM30" s="1" t="str">
        <f aca="false">IF($C30="","",VLOOKUP($C30,coefs!$A:$V,22,FALSE()))</f>
        <v/>
      </c>
    </row>
    <row r="31" customFormat="false" ht="15" hidden="false" customHeight="true" outlineLevel="0" collapsed="false">
      <c r="A31" s="14"/>
      <c r="B31" s="14"/>
      <c r="C31" s="14"/>
      <c r="D31" s="15"/>
      <c r="E31" s="16"/>
      <c r="F31" s="16"/>
      <c r="G31" s="16"/>
      <c r="H31" s="17"/>
      <c r="I31" s="16"/>
      <c r="J31" s="16"/>
      <c r="K31" s="17"/>
      <c r="L31" s="17"/>
      <c r="M31" s="15" t="str">
        <f aca="false">IFERROR(IF(OR($C31="",$D31=""),"",IF($C31="Pinus pinaster",S31/(1+T31*EXP(-U31*$D31)),IF($C31="Quercus pyrenaica",S31*EXP(T31*EXP(-U31*$D31)),1.3+EXP(S31*EXP(-T31*$D31^(-U31)))))),"")</f>
        <v/>
      </c>
      <c r="N31" s="15" t="str">
        <f aca="false">IFERROR(IF($C31="Pinus sylvestris",IF(OR($D31="",$E31="",$F31=""),"",1.3+EXP((V31+W31*$E31)*EXP(-(X31+Y31*$F31)*$D31^(-(Z31+AA31*$E31))))),IF($C31="Pinus nigra",IF(OR($D31="",$E31="",$F31="",$J31=""),"",1.3+EXP((V31+W31*$J31)*EXP(-(X31+Y31*$F31)*$D31^(-(Z31+AA31*$E31))))),IF($C31="Pinus pinaster",IF(OR($D31="",$E31="",$H31="",$F31=""),"",(V31+W31*$E31)/(1+(X31+Y31*$H31)*EXP(-(Z31+AA31*$F31)*$D31))),IF($C31="Quercus pyrenaica",IF(OR($D31="",$E31="",$G31="",$J31=""),"",(V31+W31*$E31)*EXP((X31+Y31*$G31)*EXP(-(Z31+AA31*$J31)*$D31))),"")))),"")</f>
        <v/>
      </c>
      <c r="O31" s="15" t="str">
        <f aca="false">IFERROR(IF($C31="Pinus sylvestris",IF(OR($D31="",$H31="",$I31="",$J31=""),"",1.3+EXP((AB31+AC31*$H31)*EXP(-(AD31+AE31*$I31)*$D31^(-(AF31+AG31*$J31))))),IF($C31="Pinus nigra",IF(OR($D31="",$H31="",$L31="",$I31=""),"",1.3+EXP((AB31+AC31*$H31)*EXP(-(AD31+AE31*$L31)*$D31^(-(AF31+AG31*$I31))))),IF($C31="Pinus pinaster",IF(OR($D31="",$I31="",$K31=""),"",(AB31+AC31*$I31)/(1+(AD31+AE31*$K31)*EXP(-(AF31+AG31*$I31)*$D31))),IF($C31="Quercus pyrenaica",IF(OR($D31="",$L31="",$J31="",$I31=""),"",(AB31+AC31*$L31)*EXP((AD31+AE31*$J31)*EXP(-(AF31+AG31*$I31)*$D31))),"")))),"")</f>
        <v/>
      </c>
      <c r="P31" s="15" t="str">
        <f aca="false">IFERROR(IF(OR($C31="",$D31="",$E31="",$G31=""),"",1.3+(AH31+AI31*$E31-AJ31*$G31)*EXP(-AK31/SQRT($D31))),"")</f>
        <v/>
      </c>
      <c r="Q31" s="15" t="str">
        <f aca="false">IFERROR(IF(OR($C31="",$D31=""),"",1.3+AL31*(LN(1+$D31))^AM31),"")</f>
        <v/>
      </c>
      <c r="S31" s="1" t="str">
        <f aca="false">IF($C31="","",VLOOKUP($C31,coefs!$A:$V,2,FALSE()))</f>
        <v/>
      </c>
      <c r="T31" s="1" t="str">
        <f aca="false">IF($C31="","",VLOOKUP($C31,coefs!$A:$V,3,FALSE()))</f>
        <v/>
      </c>
      <c r="U31" s="1" t="str">
        <f aca="false">IF($C31="","",VLOOKUP($C31,coefs!$A:$V,4,FALSE()))</f>
        <v/>
      </c>
      <c r="V31" s="1" t="str">
        <f aca="false">IF($C31="","",VLOOKUP($C31,coefs!$A:$V,5,FALSE()))</f>
        <v/>
      </c>
      <c r="W31" s="1" t="str">
        <f aca="false">IF($C31="","",VLOOKUP($C31,coefs!$A:$V,6,FALSE()))</f>
        <v/>
      </c>
      <c r="X31" s="1" t="str">
        <f aca="false">IF($C31="","",VLOOKUP($C31,coefs!$A:$V,7,FALSE()))</f>
        <v/>
      </c>
      <c r="Y31" s="1" t="str">
        <f aca="false">IF($C31="","",VLOOKUP($C31,coefs!$A:$V,8,FALSE()))</f>
        <v/>
      </c>
      <c r="Z31" s="1" t="str">
        <f aca="false">IF($C31="","",VLOOKUP($C31,coefs!$A:$V,9,FALSE()))</f>
        <v/>
      </c>
      <c r="AA31" s="1" t="str">
        <f aca="false">IF($C31="","",VLOOKUP($C31,coefs!$A:$V,10,FALSE()))</f>
        <v/>
      </c>
      <c r="AB31" s="1" t="str">
        <f aca="false">IF($C31="","",VLOOKUP($C31,coefs!$A:$V,11,FALSE()))</f>
        <v/>
      </c>
      <c r="AC31" s="1" t="str">
        <f aca="false">IF($C31="","",VLOOKUP($C31,coefs!$A:$V,12,FALSE()))</f>
        <v/>
      </c>
      <c r="AD31" s="1" t="str">
        <f aca="false">IF($C31="","",VLOOKUP($C31,coefs!$A:$V,13,FALSE()))</f>
        <v/>
      </c>
      <c r="AE31" s="1" t="str">
        <f aca="false">IF($C31="","",VLOOKUP($C31,coefs!$A:$V,14,FALSE()))</f>
        <v/>
      </c>
      <c r="AF31" s="1" t="str">
        <f aca="false">IF($C31="","",VLOOKUP($C31,coefs!$A:$V,15,FALSE()))</f>
        <v/>
      </c>
      <c r="AG31" s="1" t="str">
        <f aca="false">IF($C31="","",VLOOKUP($C31,coefs!$A:$V,16,FALSE()))</f>
        <v/>
      </c>
      <c r="AH31" s="1" t="str">
        <f aca="false">IF($C31="","",VLOOKUP($C31,coefs!$A:$V,17,FALSE()))</f>
        <v/>
      </c>
      <c r="AI31" s="1" t="str">
        <f aca="false">IF($C31="","",VLOOKUP($C31,coefs!$A:$V,18,FALSE()))</f>
        <v/>
      </c>
      <c r="AJ31" s="1" t="str">
        <f aca="false">IF($C31="","",VLOOKUP($C31,coefs!$A:$V,19,FALSE()))</f>
        <v/>
      </c>
      <c r="AK31" s="1" t="str">
        <f aca="false">IF($C31="","",VLOOKUP($C31,coefs!$A:$V,20,FALSE()))</f>
        <v/>
      </c>
      <c r="AL31" s="1" t="str">
        <f aca="false">IF($C31="","",VLOOKUP($C31,coefs!$A:$V,21,FALSE()))</f>
        <v/>
      </c>
      <c r="AM31" s="1" t="str">
        <f aca="false">IF($C31="","",VLOOKUP($C31,coefs!$A:$V,22,FALSE()))</f>
        <v/>
      </c>
    </row>
    <row r="32" customFormat="false" ht="15" hidden="false" customHeight="true" outlineLevel="0" collapsed="false">
      <c r="A32" s="14"/>
      <c r="B32" s="14"/>
      <c r="C32" s="14"/>
      <c r="D32" s="15"/>
      <c r="E32" s="16"/>
      <c r="F32" s="16"/>
      <c r="G32" s="16"/>
      <c r="H32" s="17"/>
      <c r="I32" s="16"/>
      <c r="J32" s="16"/>
      <c r="K32" s="17"/>
      <c r="L32" s="17"/>
      <c r="M32" s="15" t="str">
        <f aca="false">IFERROR(IF(OR($C32="",$D32=""),"",IF($C32="Pinus pinaster",S32/(1+T32*EXP(-U32*$D32)),IF($C32="Quercus pyrenaica",S32*EXP(T32*EXP(-U32*$D32)),1.3+EXP(S32*EXP(-T32*$D32^(-U32)))))),"")</f>
        <v/>
      </c>
      <c r="N32" s="15" t="str">
        <f aca="false">IFERROR(IF($C32="Pinus sylvestris",IF(OR($D32="",$E32="",$F32=""),"",1.3+EXP((V32+W32*$E32)*EXP(-(X32+Y32*$F32)*$D32^(-(Z32+AA32*$E32))))),IF($C32="Pinus nigra",IF(OR($D32="",$E32="",$F32="",$J32=""),"",1.3+EXP((V32+W32*$J32)*EXP(-(X32+Y32*$F32)*$D32^(-(Z32+AA32*$E32))))),IF($C32="Pinus pinaster",IF(OR($D32="",$E32="",$H32="",$F32=""),"",(V32+W32*$E32)/(1+(X32+Y32*$H32)*EXP(-(Z32+AA32*$F32)*$D32))),IF($C32="Quercus pyrenaica",IF(OR($D32="",$E32="",$G32="",$J32=""),"",(V32+W32*$E32)*EXP((X32+Y32*$G32)*EXP(-(Z32+AA32*$J32)*$D32))),"")))),"")</f>
        <v/>
      </c>
      <c r="O32" s="15" t="str">
        <f aca="false">IFERROR(IF($C32="Pinus sylvestris",IF(OR($D32="",$H32="",$I32="",$J32=""),"",1.3+EXP((AB32+AC32*$H32)*EXP(-(AD32+AE32*$I32)*$D32^(-(AF32+AG32*$J32))))),IF($C32="Pinus nigra",IF(OR($D32="",$H32="",$L32="",$I32=""),"",1.3+EXP((AB32+AC32*$H32)*EXP(-(AD32+AE32*$L32)*$D32^(-(AF32+AG32*$I32))))),IF($C32="Pinus pinaster",IF(OR($D32="",$I32="",$K32=""),"",(AB32+AC32*$I32)/(1+(AD32+AE32*$K32)*EXP(-(AF32+AG32*$I32)*$D32))),IF($C32="Quercus pyrenaica",IF(OR($D32="",$L32="",$J32="",$I32=""),"",(AB32+AC32*$L32)*EXP((AD32+AE32*$J32)*EXP(-(AF32+AG32*$I32)*$D32))),"")))),"")</f>
        <v/>
      </c>
      <c r="P32" s="15" t="str">
        <f aca="false">IFERROR(IF(OR($C32="",$D32="",$E32="",$G32=""),"",1.3+(AH32+AI32*$E32-AJ32*$G32)*EXP(-AK32/SQRT($D32))),"")</f>
        <v/>
      </c>
      <c r="Q32" s="15" t="str">
        <f aca="false">IFERROR(IF(OR($C32="",$D32=""),"",1.3+AL32*(LN(1+$D32))^AM32),"")</f>
        <v/>
      </c>
      <c r="S32" s="1" t="str">
        <f aca="false">IF($C32="","",VLOOKUP($C32,coefs!$A:$V,2,FALSE()))</f>
        <v/>
      </c>
      <c r="T32" s="1" t="str">
        <f aca="false">IF($C32="","",VLOOKUP($C32,coefs!$A:$V,3,FALSE()))</f>
        <v/>
      </c>
      <c r="U32" s="1" t="str">
        <f aca="false">IF($C32="","",VLOOKUP($C32,coefs!$A:$V,4,FALSE()))</f>
        <v/>
      </c>
      <c r="V32" s="1" t="str">
        <f aca="false">IF($C32="","",VLOOKUP($C32,coefs!$A:$V,5,FALSE()))</f>
        <v/>
      </c>
      <c r="W32" s="1" t="str">
        <f aca="false">IF($C32="","",VLOOKUP($C32,coefs!$A:$V,6,FALSE()))</f>
        <v/>
      </c>
      <c r="X32" s="1" t="str">
        <f aca="false">IF($C32="","",VLOOKUP($C32,coefs!$A:$V,7,FALSE()))</f>
        <v/>
      </c>
      <c r="Y32" s="1" t="str">
        <f aca="false">IF($C32="","",VLOOKUP($C32,coefs!$A:$V,8,FALSE()))</f>
        <v/>
      </c>
      <c r="Z32" s="1" t="str">
        <f aca="false">IF($C32="","",VLOOKUP($C32,coefs!$A:$V,9,FALSE()))</f>
        <v/>
      </c>
      <c r="AA32" s="1" t="str">
        <f aca="false">IF($C32="","",VLOOKUP($C32,coefs!$A:$V,10,FALSE()))</f>
        <v/>
      </c>
      <c r="AB32" s="1" t="str">
        <f aca="false">IF($C32="","",VLOOKUP($C32,coefs!$A:$V,11,FALSE()))</f>
        <v/>
      </c>
      <c r="AC32" s="1" t="str">
        <f aca="false">IF($C32="","",VLOOKUP($C32,coefs!$A:$V,12,FALSE()))</f>
        <v/>
      </c>
      <c r="AD32" s="1" t="str">
        <f aca="false">IF($C32="","",VLOOKUP($C32,coefs!$A:$V,13,FALSE()))</f>
        <v/>
      </c>
      <c r="AE32" s="1" t="str">
        <f aca="false">IF($C32="","",VLOOKUP($C32,coefs!$A:$V,14,FALSE()))</f>
        <v/>
      </c>
      <c r="AF32" s="1" t="str">
        <f aca="false">IF($C32="","",VLOOKUP($C32,coefs!$A:$V,15,FALSE()))</f>
        <v/>
      </c>
      <c r="AG32" s="1" t="str">
        <f aca="false">IF($C32="","",VLOOKUP($C32,coefs!$A:$V,16,FALSE()))</f>
        <v/>
      </c>
      <c r="AH32" s="1" t="str">
        <f aca="false">IF($C32="","",VLOOKUP($C32,coefs!$A:$V,17,FALSE()))</f>
        <v/>
      </c>
      <c r="AI32" s="1" t="str">
        <f aca="false">IF($C32="","",VLOOKUP($C32,coefs!$A:$V,18,FALSE()))</f>
        <v/>
      </c>
      <c r="AJ32" s="1" t="str">
        <f aca="false">IF($C32="","",VLOOKUP($C32,coefs!$A:$V,19,FALSE()))</f>
        <v/>
      </c>
      <c r="AK32" s="1" t="str">
        <f aca="false">IF($C32="","",VLOOKUP($C32,coefs!$A:$V,20,FALSE()))</f>
        <v/>
      </c>
      <c r="AL32" s="1" t="str">
        <f aca="false">IF($C32="","",VLOOKUP($C32,coefs!$A:$V,21,FALSE()))</f>
        <v/>
      </c>
      <c r="AM32" s="1" t="str">
        <f aca="false">IF($C32="","",VLOOKUP($C32,coefs!$A:$V,22,FALSE()))</f>
        <v/>
      </c>
    </row>
    <row r="33" customFormat="false" ht="15" hidden="false" customHeight="true" outlineLevel="0" collapsed="false">
      <c r="A33" s="14"/>
      <c r="B33" s="14"/>
      <c r="C33" s="14"/>
      <c r="D33" s="15"/>
      <c r="E33" s="16"/>
      <c r="F33" s="16"/>
      <c r="G33" s="16"/>
      <c r="H33" s="17"/>
      <c r="I33" s="16"/>
      <c r="J33" s="16"/>
      <c r="K33" s="17"/>
      <c r="L33" s="17"/>
      <c r="M33" s="15" t="str">
        <f aca="false">IFERROR(IF(OR($C33="",$D33=""),"",IF($C33="Pinus pinaster",S33/(1+T33*EXP(-U33*$D33)),IF($C33="Quercus pyrenaica",S33*EXP(T33*EXP(-U33*$D33)),1.3+EXP(S33*EXP(-T33*$D33^(-U33)))))),"")</f>
        <v/>
      </c>
      <c r="N33" s="15" t="str">
        <f aca="false">IFERROR(IF($C33="Pinus sylvestris",IF(OR($D33="",$E33="",$F33=""),"",1.3+EXP((V33+W33*$E33)*EXP(-(X33+Y33*$F33)*$D33^(-(Z33+AA33*$E33))))),IF($C33="Pinus nigra",IF(OR($D33="",$E33="",$F33="",$J33=""),"",1.3+EXP((V33+W33*$J33)*EXP(-(X33+Y33*$F33)*$D33^(-(Z33+AA33*$E33))))),IF($C33="Pinus pinaster",IF(OR($D33="",$E33="",$H33="",$F33=""),"",(V33+W33*$E33)/(1+(X33+Y33*$H33)*EXP(-(Z33+AA33*$F33)*$D33))),IF($C33="Quercus pyrenaica",IF(OR($D33="",$E33="",$G33="",$J33=""),"",(V33+W33*$E33)*EXP((X33+Y33*$G33)*EXP(-(Z33+AA33*$J33)*$D33))),"")))),"")</f>
        <v/>
      </c>
      <c r="O33" s="15" t="str">
        <f aca="false">IFERROR(IF($C33="Pinus sylvestris",IF(OR($D33="",$H33="",$I33="",$J33=""),"",1.3+EXP((AB33+AC33*$H33)*EXP(-(AD33+AE33*$I33)*$D33^(-(AF33+AG33*$J33))))),IF($C33="Pinus nigra",IF(OR($D33="",$H33="",$L33="",$I33=""),"",1.3+EXP((AB33+AC33*$H33)*EXP(-(AD33+AE33*$L33)*$D33^(-(AF33+AG33*$I33))))),IF($C33="Pinus pinaster",IF(OR($D33="",$I33="",$K33=""),"",(AB33+AC33*$I33)/(1+(AD33+AE33*$K33)*EXP(-(AF33+AG33*$I33)*$D33))),IF($C33="Quercus pyrenaica",IF(OR($D33="",$L33="",$J33="",$I33=""),"",(AB33+AC33*$L33)*EXP((AD33+AE33*$J33)*EXP(-(AF33+AG33*$I33)*$D33))),"")))),"")</f>
        <v/>
      </c>
      <c r="P33" s="15" t="str">
        <f aca="false">IFERROR(IF(OR($C33="",$D33="",$E33="",$G33=""),"",1.3+(AH33+AI33*$E33-AJ33*$G33)*EXP(-AK33/SQRT($D33))),"")</f>
        <v/>
      </c>
      <c r="Q33" s="15" t="str">
        <f aca="false">IFERROR(IF(OR($C33="",$D33=""),"",1.3+AL33*(LN(1+$D33))^AM33),"")</f>
        <v/>
      </c>
      <c r="S33" s="1" t="str">
        <f aca="false">IF($C33="","",VLOOKUP($C33,coefs!$A:$V,2,FALSE()))</f>
        <v/>
      </c>
      <c r="T33" s="1" t="str">
        <f aca="false">IF($C33="","",VLOOKUP($C33,coefs!$A:$V,3,FALSE()))</f>
        <v/>
      </c>
      <c r="U33" s="1" t="str">
        <f aca="false">IF($C33="","",VLOOKUP($C33,coefs!$A:$V,4,FALSE()))</f>
        <v/>
      </c>
      <c r="V33" s="1" t="str">
        <f aca="false">IF($C33="","",VLOOKUP($C33,coefs!$A:$V,5,FALSE()))</f>
        <v/>
      </c>
      <c r="W33" s="1" t="str">
        <f aca="false">IF($C33="","",VLOOKUP($C33,coefs!$A:$V,6,FALSE()))</f>
        <v/>
      </c>
      <c r="X33" s="1" t="str">
        <f aca="false">IF($C33="","",VLOOKUP($C33,coefs!$A:$V,7,FALSE()))</f>
        <v/>
      </c>
      <c r="Y33" s="1" t="str">
        <f aca="false">IF($C33="","",VLOOKUP($C33,coefs!$A:$V,8,FALSE()))</f>
        <v/>
      </c>
      <c r="Z33" s="1" t="str">
        <f aca="false">IF($C33="","",VLOOKUP($C33,coefs!$A:$V,9,FALSE()))</f>
        <v/>
      </c>
      <c r="AA33" s="1" t="str">
        <f aca="false">IF($C33="","",VLOOKUP($C33,coefs!$A:$V,10,FALSE()))</f>
        <v/>
      </c>
      <c r="AB33" s="1" t="str">
        <f aca="false">IF($C33="","",VLOOKUP($C33,coefs!$A:$V,11,FALSE()))</f>
        <v/>
      </c>
      <c r="AC33" s="1" t="str">
        <f aca="false">IF($C33="","",VLOOKUP($C33,coefs!$A:$V,12,FALSE()))</f>
        <v/>
      </c>
      <c r="AD33" s="1" t="str">
        <f aca="false">IF($C33="","",VLOOKUP($C33,coefs!$A:$V,13,FALSE()))</f>
        <v/>
      </c>
      <c r="AE33" s="1" t="str">
        <f aca="false">IF($C33="","",VLOOKUP($C33,coefs!$A:$V,14,FALSE()))</f>
        <v/>
      </c>
      <c r="AF33" s="1" t="str">
        <f aca="false">IF($C33="","",VLOOKUP($C33,coefs!$A:$V,15,FALSE()))</f>
        <v/>
      </c>
      <c r="AG33" s="1" t="str">
        <f aca="false">IF($C33="","",VLOOKUP($C33,coefs!$A:$V,16,FALSE()))</f>
        <v/>
      </c>
      <c r="AH33" s="1" t="str">
        <f aca="false">IF($C33="","",VLOOKUP($C33,coefs!$A:$V,17,FALSE()))</f>
        <v/>
      </c>
      <c r="AI33" s="1" t="str">
        <f aca="false">IF($C33="","",VLOOKUP($C33,coefs!$A:$V,18,FALSE()))</f>
        <v/>
      </c>
      <c r="AJ33" s="1" t="str">
        <f aca="false">IF($C33="","",VLOOKUP($C33,coefs!$A:$V,19,FALSE()))</f>
        <v/>
      </c>
      <c r="AK33" s="1" t="str">
        <f aca="false">IF($C33="","",VLOOKUP($C33,coefs!$A:$V,20,FALSE()))</f>
        <v/>
      </c>
      <c r="AL33" s="1" t="str">
        <f aca="false">IF($C33="","",VLOOKUP($C33,coefs!$A:$V,21,FALSE()))</f>
        <v/>
      </c>
      <c r="AM33" s="1" t="str">
        <f aca="false">IF($C33="","",VLOOKUP($C33,coefs!$A:$V,22,FALSE()))</f>
        <v/>
      </c>
    </row>
    <row r="34" customFormat="false" ht="15" hidden="false" customHeight="true" outlineLevel="0" collapsed="false">
      <c r="A34" s="14"/>
      <c r="B34" s="14"/>
      <c r="C34" s="14"/>
      <c r="D34" s="15"/>
      <c r="E34" s="16"/>
      <c r="F34" s="16"/>
      <c r="G34" s="16"/>
      <c r="H34" s="17"/>
      <c r="I34" s="16"/>
      <c r="J34" s="16"/>
      <c r="K34" s="17"/>
      <c r="L34" s="17"/>
      <c r="M34" s="15" t="str">
        <f aca="false">IFERROR(IF(OR($C34="",$D34=""),"",IF($C34="Pinus pinaster",S34/(1+T34*EXP(-U34*$D34)),IF($C34="Quercus pyrenaica",S34*EXP(T34*EXP(-U34*$D34)),1.3+EXP(S34*EXP(-T34*$D34^(-U34)))))),"")</f>
        <v/>
      </c>
      <c r="N34" s="15" t="str">
        <f aca="false">IFERROR(IF($C34="Pinus sylvestris",IF(OR($D34="",$E34="",$F34=""),"",1.3+EXP((V34+W34*$E34)*EXP(-(X34+Y34*$F34)*$D34^(-(Z34+AA34*$E34))))),IF($C34="Pinus nigra",IF(OR($D34="",$E34="",$F34="",$J34=""),"",1.3+EXP((V34+W34*$J34)*EXP(-(X34+Y34*$F34)*$D34^(-(Z34+AA34*$E34))))),IF($C34="Pinus pinaster",IF(OR($D34="",$E34="",$H34="",$F34=""),"",(V34+W34*$E34)/(1+(X34+Y34*$H34)*EXP(-(Z34+AA34*$F34)*$D34))),IF($C34="Quercus pyrenaica",IF(OR($D34="",$E34="",$G34="",$J34=""),"",(V34+W34*$E34)*EXP((X34+Y34*$G34)*EXP(-(Z34+AA34*$J34)*$D34))),"")))),"")</f>
        <v/>
      </c>
      <c r="O34" s="15" t="str">
        <f aca="false">IFERROR(IF($C34="Pinus sylvestris",IF(OR($D34="",$H34="",$I34="",$J34=""),"",1.3+EXP((AB34+AC34*$H34)*EXP(-(AD34+AE34*$I34)*$D34^(-(AF34+AG34*$J34))))),IF($C34="Pinus nigra",IF(OR($D34="",$H34="",$L34="",$I34=""),"",1.3+EXP((AB34+AC34*$H34)*EXP(-(AD34+AE34*$L34)*$D34^(-(AF34+AG34*$I34))))),IF($C34="Pinus pinaster",IF(OR($D34="",$I34="",$K34=""),"",(AB34+AC34*$I34)/(1+(AD34+AE34*$K34)*EXP(-(AF34+AG34*$I34)*$D34))),IF($C34="Quercus pyrenaica",IF(OR($D34="",$L34="",$J34="",$I34=""),"",(AB34+AC34*$L34)*EXP((AD34+AE34*$J34)*EXP(-(AF34+AG34*$I34)*$D34))),"")))),"")</f>
        <v/>
      </c>
      <c r="P34" s="15" t="str">
        <f aca="false">IFERROR(IF(OR($C34="",$D34="",$E34="",$G34=""),"",1.3+(AH34+AI34*$E34-AJ34*$G34)*EXP(-AK34/SQRT($D34))),"")</f>
        <v/>
      </c>
      <c r="Q34" s="15" t="str">
        <f aca="false">IFERROR(IF(OR($C34="",$D34=""),"",1.3+AL34*(LN(1+$D34))^AM34),"")</f>
        <v/>
      </c>
      <c r="S34" s="1" t="str">
        <f aca="false">IF($C34="","",VLOOKUP($C34,coefs!$A:$V,2,FALSE()))</f>
        <v/>
      </c>
      <c r="T34" s="1" t="str">
        <f aca="false">IF($C34="","",VLOOKUP($C34,coefs!$A:$V,3,FALSE()))</f>
        <v/>
      </c>
      <c r="U34" s="1" t="str">
        <f aca="false">IF($C34="","",VLOOKUP($C34,coefs!$A:$V,4,FALSE()))</f>
        <v/>
      </c>
      <c r="V34" s="1" t="str">
        <f aca="false">IF($C34="","",VLOOKUP($C34,coefs!$A:$V,5,FALSE()))</f>
        <v/>
      </c>
      <c r="W34" s="1" t="str">
        <f aca="false">IF($C34="","",VLOOKUP($C34,coefs!$A:$V,6,FALSE()))</f>
        <v/>
      </c>
      <c r="X34" s="1" t="str">
        <f aca="false">IF($C34="","",VLOOKUP($C34,coefs!$A:$V,7,FALSE()))</f>
        <v/>
      </c>
      <c r="Y34" s="1" t="str">
        <f aca="false">IF($C34="","",VLOOKUP($C34,coefs!$A:$V,8,FALSE()))</f>
        <v/>
      </c>
      <c r="Z34" s="1" t="str">
        <f aca="false">IF($C34="","",VLOOKUP($C34,coefs!$A:$V,9,FALSE()))</f>
        <v/>
      </c>
      <c r="AA34" s="1" t="str">
        <f aca="false">IF($C34="","",VLOOKUP($C34,coefs!$A:$V,10,FALSE()))</f>
        <v/>
      </c>
      <c r="AB34" s="1" t="str">
        <f aca="false">IF($C34="","",VLOOKUP($C34,coefs!$A:$V,11,FALSE()))</f>
        <v/>
      </c>
      <c r="AC34" s="1" t="str">
        <f aca="false">IF($C34="","",VLOOKUP($C34,coefs!$A:$V,12,FALSE()))</f>
        <v/>
      </c>
      <c r="AD34" s="1" t="str">
        <f aca="false">IF($C34="","",VLOOKUP($C34,coefs!$A:$V,13,FALSE()))</f>
        <v/>
      </c>
      <c r="AE34" s="1" t="str">
        <f aca="false">IF($C34="","",VLOOKUP($C34,coefs!$A:$V,14,FALSE()))</f>
        <v/>
      </c>
      <c r="AF34" s="1" t="str">
        <f aca="false">IF($C34="","",VLOOKUP($C34,coefs!$A:$V,15,FALSE()))</f>
        <v/>
      </c>
      <c r="AG34" s="1" t="str">
        <f aca="false">IF($C34="","",VLOOKUP($C34,coefs!$A:$V,16,FALSE()))</f>
        <v/>
      </c>
      <c r="AH34" s="1" t="str">
        <f aca="false">IF($C34="","",VLOOKUP($C34,coefs!$A:$V,17,FALSE()))</f>
        <v/>
      </c>
      <c r="AI34" s="1" t="str">
        <f aca="false">IF($C34="","",VLOOKUP($C34,coefs!$A:$V,18,FALSE()))</f>
        <v/>
      </c>
      <c r="AJ34" s="1" t="str">
        <f aca="false">IF($C34="","",VLOOKUP($C34,coefs!$A:$V,19,FALSE()))</f>
        <v/>
      </c>
      <c r="AK34" s="1" t="str">
        <f aca="false">IF($C34="","",VLOOKUP($C34,coefs!$A:$V,20,FALSE()))</f>
        <v/>
      </c>
      <c r="AL34" s="1" t="str">
        <f aca="false">IF($C34="","",VLOOKUP($C34,coefs!$A:$V,21,FALSE()))</f>
        <v/>
      </c>
      <c r="AM34" s="1" t="str">
        <f aca="false">IF($C34="","",VLOOKUP($C34,coefs!$A:$V,22,FALSE()))</f>
        <v/>
      </c>
    </row>
    <row r="35" customFormat="false" ht="15" hidden="false" customHeight="true" outlineLevel="0" collapsed="false">
      <c r="A35" s="14"/>
      <c r="B35" s="14"/>
      <c r="C35" s="14"/>
      <c r="D35" s="15"/>
      <c r="E35" s="16"/>
      <c r="F35" s="16"/>
      <c r="G35" s="16"/>
      <c r="H35" s="17"/>
      <c r="I35" s="16"/>
      <c r="J35" s="16"/>
      <c r="K35" s="17"/>
      <c r="L35" s="17"/>
      <c r="M35" s="15" t="str">
        <f aca="false">IFERROR(IF(OR($C35="",$D35=""),"",IF($C35="Pinus pinaster",S35/(1+T35*EXP(-U35*$D35)),IF($C35="Quercus pyrenaica",S35*EXP(T35*EXP(-U35*$D35)),1.3+EXP(S35*EXP(-T35*$D35^(-U35)))))),"")</f>
        <v/>
      </c>
      <c r="N35" s="15" t="str">
        <f aca="false">IFERROR(IF($C35="Pinus sylvestris",IF(OR($D35="",$E35="",$F35=""),"",1.3+EXP((V35+W35*$E35)*EXP(-(X35+Y35*$F35)*$D35^(-(Z35+AA35*$E35))))),IF($C35="Pinus nigra",IF(OR($D35="",$E35="",$F35="",$J35=""),"",1.3+EXP((V35+W35*$J35)*EXP(-(X35+Y35*$F35)*$D35^(-(Z35+AA35*$E35))))),IF($C35="Pinus pinaster",IF(OR($D35="",$E35="",$H35="",$F35=""),"",(V35+W35*$E35)/(1+(X35+Y35*$H35)*EXP(-(Z35+AA35*$F35)*$D35))),IF($C35="Quercus pyrenaica",IF(OR($D35="",$E35="",$G35="",$J35=""),"",(V35+W35*$E35)*EXP((X35+Y35*$G35)*EXP(-(Z35+AA35*$J35)*$D35))),"")))),"")</f>
        <v/>
      </c>
      <c r="O35" s="15" t="str">
        <f aca="false">IFERROR(IF($C35="Pinus sylvestris",IF(OR($D35="",$H35="",$I35="",$J35=""),"",1.3+EXP((AB35+AC35*$H35)*EXP(-(AD35+AE35*$I35)*$D35^(-(AF35+AG35*$J35))))),IF($C35="Pinus nigra",IF(OR($D35="",$H35="",$L35="",$I35=""),"",1.3+EXP((AB35+AC35*$H35)*EXP(-(AD35+AE35*$L35)*$D35^(-(AF35+AG35*$I35))))),IF($C35="Pinus pinaster",IF(OR($D35="",$I35="",$K35=""),"",(AB35+AC35*$I35)/(1+(AD35+AE35*$K35)*EXP(-(AF35+AG35*$I35)*$D35))),IF($C35="Quercus pyrenaica",IF(OR($D35="",$L35="",$J35="",$I35=""),"",(AB35+AC35*$L35)*EXP((AD35+AE35*$J35)*EXP(-(AF35+AG35*$I35)*$D35))),"")))),"")</f>
        <v/>
      </c>
      <c r="P35" s="15" t="str">
        <f aca="false">IFERROR(IF(OR($C35="",$D35="",$E35="",$G35=""),"",1.3+(AH35+AI35*$E35-AJ35*$G35)*EXP(-AK35/SQRT($D35))),"")</f>
        <v/>
      </c>
      <c r="Q35" s="15" t="str">
        <f aca="false">IFERROR(IF(OR($C35="",$D35=""),"",1.3+AL35*(LN(1+$D35))^AM35),"")</f>
        <v/>
      </c>
      <c r="S35" s="1" t="str">
        <f aca="false">IF($C35="","",VLOOKUP($C35,coefs!$A:$V,2,FALSE()))</f>
        <v/>
      </c>
      <c r="T35" s="1" t="str">
        <f aca="false">IF($C35="","",VLOOKUP($C35,coefs!$A:$V,3,FALSE()))</f>
        <v/>
      </c>
      <c r="U35" s="1" t="str">
        <f aca="false">IF($C35="","",VLOOKUP($C35,coefs!$A:$V,4,FALSE()))</f>
        <v/>
      </c>
      <c r="V35" s="1" t="str">
        <f aca="false">IF($C35="","",VLOOKUP($C35,coefs!$A:$V,5,FALSE()))</f>
        <v/>
      </c>
      <c r="W35" s="1" t="str">
        <f aca="false">IF($C35="","",VLOOKUP($C35,coefs!$A:$V,6,FALSE()))</f>
        <v/>
      </c>
      <c r="X35" s="1" t="str">
        <f aca="false">IF($C35="","",VLOOKUP($C35,coefs!$A:$V,7,FALSE()))</f>
        <v/>
      </c>
      <c r="Y35" s="1" t="str">
        <f aca="false">IF($C35="","",VLOOKUP($C35,coefs!$A:$V,8,FALSE()))</f>
        <v/>
      </c>
      <c r="Z35" s="1" t="str">
        <f aca="false">IF($C35="","",VLOOKUP($C35,coefs!$A:$V,9,FALSE()))</f>
        <v/>
      </c>
      <c r="AA35" s="1" t="str">
        <f aca="false">IF($C35="","",VLOOKUP($C35,coefs!$A:$V,10,FALSE()))</f>
        <v/>
      </c>
      <c r="AB35" s="1" t="str">
        <f aca="false">IF($C35="","",VLOOKUP($C35,coefs!$A:$V,11,FALSE()))</f>
        <v/>
      </c>
      <c r="AC35" s="1" t="str">
        <f aca="false">IF($C35="","",VLOOKUP($C35,coefs!$A:$V,12,FALSE()))</f>
        <v/>
      </c>
      <c r="AD35" s="1" t="str">
        <f aca="false">IF($C35="","",VLOOKUP($C35,coefs!$A:$V,13,FALSE()))</f>
        <v/>
      </c>
      <c r="AE35" s="1" t="str">
        <f aca="false">IF($C35="","",VLOOKUP($C35,coefs!$A:$V,14,FALSE()))</f>
        <v/>
      </c>
      <c r="AF35" s="1" t="str">
        <f aca="false">IF($C35="","",VLOOKUP($C35,coefs!$A:$V,15,FALSE()))</f>
        <v/>
      </c>
      <c r="AG35" s="1" t="str">
        <f aca="false">IF($C35="","",VLOOKUP($C35,coefs!$A:$V,16,FALSE()))</f>
        <v/>
      </c>
      <c r="AH35" s="1" t="str">
        <f aca="false">IF($C35="","",VLOOKUP($C35,coefs!$A:$V,17,FALSE()))</f>
        <v/>
      </c>
      <c r="AI35" s="1" t="str">
        <f aca="false">IF($C35="","",VLOOKUP($C35,coefs!$A:$V,18,FALSE()))</f>
        <v/>
      </c>
      <c r="AJ35" s="1" t="str">
        <f aca="false">IF($C35="","",VLOOKUP($C35,coefs!$A:$V,19,FALSE()))</f>
        <v/>
      </c>
      <c r="AK35" s="1" t="str">
        <f aca="false">IF($C35="","",VLOOKUP($C35,coefs!$A:$V,20,FALSE()))</f>
        <v/>
      </c>
      <c r="AL35" s="1" t="str">
        <f aca="false">IF($C35="","",VLOOKUP($C35,coefs!$A:$V,21,FALSE()))</f>
        <v/>
      </c>
      <c r="AM35" s="1" t="str">
        <f aca="false">IF($C35="","",VLOOKUP($C35,coefs!$A:$V,22,FALSE()))</f>
        <v/>
      </c>
    </row>
    <row r="36" customFormat="false" ht="15" hidden="false" customHeight="true" outlineLevel="0" collapsed="false">
      <c r="A36" s="14"/>
      <c r="B36" s="14"/>
      <c r="C36" s="14"/>
      <c r="D36" s="15"/>
      <c r="E36" s="16"/>
      <c r="F36" s="16"/>
      <c r="G36" s="16"/>
      <c r="H36" s="17"/>
      <c r="I36" s="16"/>
      <c r="J36" s="16"/>
      <c r="K36" s="17"/>
      <c r="L36" s="17"/>
      <c r="M36" s="15" t="str">
        <f aca="false">IFERROR(IF(OR($C36="",$D36=""),"",IF($C36="Pinus pinaster",S36/(1+T36*EXP(-U36*$D36)),IF($C36="Quercus pyrenaica",S36*EXP(T36*EXP(-U36*$D36)),1.3+EXP(S36*EXP(-T36*$D36^(-U36)))))),"")</f>
        <v/>
      </c>
      <c r="N36" s="15" t="str">
        <f aca="false">IFERROR(IF($C36="Pinus sylvestris",IF(OR($D36="",$E36="",$F36=""),"",1.3+EXP((V36+W36*$E36)*EXP(-(X36+Y36*$F36)*$D36^(-(Z36+AA36*$E36))))),IF($C36="Pinus nigra",IF(OR($D36="",$E36="",$F36="",$J36=""),"",1.3+EXP((V36+W36*$J36)*EXP(-(X36+Y36*$F36)*$D36^(-(Z36+AA36*$E36))))),IF($C36="Pinus pinaster",IF(OR($D36="",$E36="",$H36="",$F36=""),"",(V36+W36*$E36)/(1+(X36+Y36*$H36)*EXP(-(Z36+AA36*$F36)*$D36))),IF($C36="Quercus pyrenaica",IF(OR($D36="",$E36="",$G36="",$J36=""),"",(V36+W36*$E36)*EXP((X36+Y36*$G36)*EXP(-(Z36+AA36*$J36)*$D36))),"")))),"")</f>
        <v/>
      </c>
      <c r="O36" s="15" t="str">
        <f aca="false">IFERROR(IF($C36="Pinus sylvestris",IF(OR($D36="",$H36="",$I36="",$J36=""),"",1.3+EXP((AB36+AC36*$H36)*EXP(-(AD36+AE36*$I36)*$D36^(-(AF36+AG36*$J36))))),IF($C36="Pinus nigra",IF(OR($D36="",$H36="",$L36="",$I36=""),"",1.3+EXP((AB36+AC36*$H36)*EXP(-(AD36+AE36*$L36)*$D36^(-(AF36+AG36*$I36))))),IF($C36="Pinus pinaster",IF(OR($D36="",$I36="",$K36=""),"",(AB36+AC36*$I36)/(1+(AD36+AE36*$K36)*EXP(-(AF36+AG36*$I36)*$D36))),IF($C36="Quercus pyrenaica",IF(OR($D36="",$L36="",$J36="",$I36=""),"",(AB36+AC36*$L36)*EXP((AD36+AE36*$J36)*EXP(-(AF36+AG36*$I36)*$D36))),"")))),"")</f>
        <v/>
      </c>
      <c r="P36" s="15" t="str">
        <f aca="false">IFERROR(IF(OR($C36="",$D36="",$E36="",$G36=""),"",1.3+(AH36+AI36*$E36-AJ36*$G36)*EXP(-AK36/SQRT($D36))),"")</f>
        <v/>
      </c>
      <c r="Q36" s="15" t="str">
        <f aca="false">IFERROR(IF(OR($C36="",$D36=""),"",1.3+AL36*(LN(1+$D36))^AM36),"")</f>
        <v/>
      </c>
      <c r="S36" s="1" t="str">
        <f aca="false">IF($C36="","",VLOOKUP($C36,coefs!$A:$V,2,FALSE()))</f>
        <v/>
      </c>
      <c r="T36" s="1" t="str">
        <f aca="false">IF($C36="","",VLOOKUP($C36,coefs!$A:$V,3,FALSE()))</f>
        <v/>
      </c>
      <c r="U36" s="1" t="str">
        <f aca="false">IF($C36="","",VLOOKUP($C36,coefs!$A:$V,4,FALSE()))</f>
        <v/>
      </c>
      <c r="V36" s="1" t="str">
        <f aca="false">IF($C36="","",VLOOKUP($C36,coefs!$A:$V,5,FALSE()))</f>
        <v/>
      </c>
      <c r="W36" s="1" t="str">
        <f aca="false">IF($C36="","",VLOOKUP($C36,coefs!$A:$V,6,FALSE()))</f>
        <v/>
      </c>
      <c r="X36" s="1" t="str">
        <f aca="false">IF($C36="","",VLOOKUP($C36,coefs!$A:$V,7,FALSE()))</f>
        <v/>
      </c>
      <c r="Y36" s="1" t="str">
        <f aca="false">IF($C36="","",VLOOKUP($C36,coefs!$A:$V,8,FALSE()))</f>
        <v/>
      </c>
      <c r="Z36" s="1" t="str">
        <f aca="false">IF($C36="","",VLOOKUP($C36,coefs!$A:$V,9,FALSE()))</f>
        <v/>
      </c>
      <c r="AA36" s="1" t="str">
        <f aca="false">IF($C36="","",VLOOKUP($C36,coefs!$A:$V,10,FALSE()))</f>
        <v/>
      </c>
      <c r="AB36" s="1" t="str">
        <f aca="false">IF($C36="","",VLOOKUP($C36,coefs!$A:$V,11,FALSE()))</f>
        <v/>
      </c>
      <c r="AC36" s="1" t="str">
        <f aca="false">IF($C36="","",VLOOKUP($C36,coefs!$A:$V,12,FALSE()))</f>
        <v/>
      </c>
      <c r="AD36" s="1" t="str">
        <f aca="false">IF($C36="","",VLOOKUP($C36,coefs!$A:$V,13,FALSE()))</f>
        <v/>
      </c>
      <c r="AE36" s="1" t="str">
        <f aca="false">IF($C36="","",VLOOKUP($C36,coefs!$A:$V,14,FALSE()))</f>
        <v/>
      </c>
      <c r="AF36" s="1" t="str">
        <f aca="false">IF($C36="","",VLOOKUP($C36,coefs!$A:$V,15,FALSE()))</f>
        <v/>
      </c>
      <c r="AG36" s="1" t="str">
        <f aca="false">IF($C36="","",VLOOKUP($C36,coefs!$A:$V,16,FALSE()))</f>
        <v/>
      </c>
      <c r="AH36" s="1" t="str">
        <f aca="false">IF($C36="","",VLOOKUP($C36,coefs!$A:$V,17,FALSE()))</f>
        <v/>
      </c>
      <c r="AI36" s="1" t="str">
        <f aca="false">IF($C36="","",VLOOKUP($C36,coefs!$A:$V,18,FALSE()))</f>
        <v/>
      </c>
      <c r="AJ36" s="1" t="str">
        <f aca="false">IF($C36="","",VLOOKUP($C36,coefs!$A:$V,19,FALSE()))</f>
        <v/>
      </c>
      <c r="AK36" s="1" t="str">
        <f aca="false">IF($C36="","",VLOOKUP($C36,coefs!$A:$V,20,FALSE()))</f>
        <v/>
      </c>
      <c r="AL36" s="1" t="str">
        <f aca="false">IF($C36="","",VLOOKUP($C36,coefs!$A:$V,21,FALSE()))</f>
        <v/>
      </c>
      <c r="AM36" s="1" t="str">
        <f aca="false">IF($C36="","",VLOOKUP($C36,coefs!$A:$V,22,FALSE()))</f>
        <v/>
      </c>
    </row>
    <row r="37" customFormat="false" ht="15" hidden="false" customHeight="true" outlineLevel="0" collapsed="false">
      <c r="A37" s="14"/>
      <c r="B37" s="14"/>
      <c r="C37" s="14"/>
      <c r="D37" s="15"/>
      <c r="E37" s="16"/>
      <c r="F37" s="16"/>
      <c r="G37" s="16"/>
      <c r="H37" s="17"/>
      <c r="I37" s="16"/>
      <c r="J37" s="16"/>
      <c r="K37" s="17"/>
      <c r="L37" s="17"/>
      <c r="M37" s="15" t="str">
        <f aca="false">IFERROR(IF(OR($C37="",$D37=""),"",IF($C37="Pinus pinaster",S37/(1+T37*EXP(-U37*$D37)),IF($C37="Quercus pyrenaica",S37*EXP(T37*EXP(-U37*$D37)),1.3+EXP(S37*EXP(-T37*$D37^(-U37)))))),"")</f>
        <v/>
      </c>
      <c r="N37" s="15" t="str">
        <f aca="false">IFERROR(IF($C37="Pinus sylvestris",IF(OR($D37="",$E37="",$F37=""),"",1.3+EXP((V37+W37*$E37)*EXP(-(X37+Y37*$F37)*$D37^(-(Z37+AA37*$E37))))),IF($C37="Pinus nigra",IF(OR($D37="",$E37="",$F37="",$J37=""),"",1.3+EXP((V37+W37*$J37)*EXP(-(X37+Y37*$F37)*$D37^(-(Z37+AA37*$E37))))),IF($C37="Pinus pinaster",IF(OR($D37="",$E37="",$H37="",$F37=""),"",(V37+W37*$E37)/(1+(X37+Y37*$H37)*EXP(-(Z37+AA37*$F37)*$D37))),IF($C37="Quercus pyrenaica",IF(OR($D37="",$E37="",$G37="",$J37=""),"",(V37+W37*$E37)*EXP((X37+Y37*$G37)*EXP(-(Z37+AA37*$J37)*$D37))),"")))),"")</f>
        <v/>
      </c>
      <c r="O37" s="15" t="str">
        <f aca="false">IFERROR(IF($C37="Pinus sylvestris",IF(OR($D37="",$H37="",$I37="",$J37=""),"",1.3+EXP((AB37+AC37*$H37)*EXP(-(AD37+AE37*$I37)*$D37^(-(AF37+AG37*$J37))))),IF($C37="Pinus nigra",IF(OR($D37="",$H37="",$L37="",$I37=""),"",1.3+EXP((AB37+AC37*$H37)*EXP(-(AD37+AE37*$L37)*$D37^(-(AF37+AG37*$I37))))),IF($C37="Pinus pinaster",IF(OR($D37="",$I37="",$K37=""),"",(AB37+AC37*$I37)/(1+(AD37+AE37*$K37)*EXP(-(AF37+AG37*$I37)*$D37))),IF($C37="Quercus pyrenaica",IF(OR($D37="",$L37="",$J37="",$I37=""),"",(AB37+AC37*$L37)*EXP((AD37+AE37*$J37)*EXP(-(AF37+AG37*$I37)*$D37))),"")))),"")</f>
        <v/>
      </c>
      <c r="P37" s="15" t="str">
        <f aca="false">IFERROR(IF(OR($C37="",$D37="",$E37="",$G37=""),"",1.3+(AH37+AI37*$E37-AJ37*$G37)*EXP(-AK37/SQRT($D37))),"")</f>
        <v/>
      </c>
      <c r="Q37" s="15" t="str">
        <f aca="false">IFERROR(IF(OR($C37="",$D37=""),"",1.3+AL37*(LN(1+$D37))^AM37),"")</f>
        <v/>
      </c>
      <c r="S37" s="1" t="str">
        <f aca="false">IF($C37="","",VLOOKUP($C37,coefs!$A:$V,2,FALSE()))</f>
        <v/>
      </c>
      <c r="T37" s="1" t="str">
        <f aca="false">IF($C37="","",VLOOKUP($C37,coefs!$A:$V,3,FALSE()))</f>
        <v/>
      </c>
      <c r="U37" s="1" t="str">
        <f aca="false">IF($C37="","",VLOOKUP($C37,coefs!$A:$V,4,FALSE()))</f>
        <v/>
      </c>
      <c r="V37" s="1" t="str">
        <f aca="false">IF($C37="","",VLOOKUP($C37,coefs!$A:$V,5,FALSE()))</f>
        <v/>
      </c>
      <c r="W37" s="1" t="str">
        <f aca="false">IF($C37="","",VLOOKUP($C37,coefs!$A:$V,6,FALSE()))</f>
        <v/>
      </c>
      <c r="X37" s="1" t="str">
        <f aca="false">IF($C37="","",VLOOKUP($C37,coefs!$A:$V,7,FALSE()))</f>
        <v/>
      </c>
      <c r="Y37" s="1" t="str">
        <f aca="false">IF($C37="","",VLOOKUP($C37,coefs!$A:$V,8,FALSE()))</f>
        <v/>
      </c>
      <c r="Z37" s="1" t="str">
        <f aca="false">IF($C37="","",VLOOKUP($C37,coefs!$A:$V,9,FALSE()))</f>
        <v/>
      </c>
      <c r="AA37" s="1" t="str">
        <f aca="false">IF($C37="","",VLOOKUP($C37,coefs!$A:$V,10,FALSE()))</f>
        <v/>
      </c>
      <c r="AB37" s="1" t="str">
        <f aca="false">IF($C37="","",VLOOKUP($C37,coefs!$A:$V,11,FALSE()))</f>
        <v/>
      </c>
      <c r="AC37" s="1" t="str">
        <f aca="false">IF($C37="","",VLOOKUP($C37,coefs!$A:$V,12,FALSE()))</f>
        <v/>
      </c>
      <c r="AD37" s="1" t="str">
        <f aca="false">IF($C37="","",VLOOKUP($C37,coefs!$A:$V,13,FALSE()))</f>
        <v/>
      </c>
      <c r="AE37" s="1" t="str">
        <f aca="false">IF($C37="","",VLOOKUP($C37,coefs!$A:$V,14,FALSE()))</f>
        <v/>
      </c>
      <c r="AF37" s="1" t="str">
        <f aca="false">IF($C37="","",VLOOKUP($C37,coefs!$A:$V,15,FALSE()))</f>
        <v/>
      </c>
      <c r="AG37" s="1" t="str">
        <f aca="false">IF($C37="","",VLOOKUP($C37,coefs!$A:$V,16,FALSE()))</f>
        <v/>
      </c>
      <c r="AH37" s="1" t="str">
        <f aca="false">IF($C37="","",VLOOKUP($C37,coefs!$A:$V,17,FALSE()))</f>
        <v/>
      </c>
      <c r="AI37" s="1" t="str">
        <f aca="false">IF($C37="","",VLOOKUP($C37,coefs!$A:$V,18,FALSE()))</f>
        <v/>
      </c>
      <c r="AJ37" s="1" t="str">
        <f aca="false">IF($C37="","",VLOOKUP($C37,coefs!$A:$V,19,FALSE()))</f>
        <v/>
      </c>
      <c r="AK37" s="1" t="str">
        <f aca="false">IF($C37="","",VLOOKUP($C37,coefs!$A:$V,20,FALSE()))</f>
        <v/>
      </c>
      <c r="AL37" s="1" t="str">
        <f aca="false">IF($C37="","",VLOOKUP($C37,coefs!$A:$V,21,FALSE()))</f>
        <v/>
      </c>
      <c r="AM37" s="1" t="str">
        <f aca="false">IF($C37="","",VLOOKUP($C37,coefs!$A:$V,22,FALSE()))</f>
        <v/>
      </c>
    </row>
    <row r="38" customFormat="false" ht="15" hidden="false" customHeight="true" outlineLevel="0" collapsed="false">
      <c r="A38" s="14"/>
      <c r="B38" s="14"/>
      <c r="C38" s="14"/>
      <c r="D38" s="15"/>
      <c r="E38" s="16"/>
      <c r="F38" s="16"/>
      <c r="G38" s="16"/>
      <c r="H38" s="17"/>
      <c r="I38" s="16"/>
      <c r="J38" s="16"/>
      <c r="K38" s="17"/>
      <c r="L38" s="17"/>
      <c r="M38" s="15" t="str">
        <f aca="false">IFERROR(IF(OR($C38="",$D38=""),"",IF($C38="Pinus pinaster",S38/(1+T38*EXP(-U38*$D38)),IF($C38="Quercus pyrenaica",S38*EXP(T38*EXP(-U38*$D38)),1.3+EXP(S38*EXP(-T38*$D38^(-U38)))))),"")</f>
        <v/>
      </c>
      <c r="N38" s="15" t="str">
        <f aca="false">IFERROR(IF($C38="Pinus sylvestris",IF(OR($D38="",$E38="",$F38=""),"",1.3+EXP((V38+W38*$E38)*EXP(-(X38+Y38*$F38)*$D38^(-(Z38+AA38*$E38))))),IF($C38="Pinus nigra",IF(OR($D38="",$E38="",$F38="",$J38=""),"",1.3+EXP((V38+W38*$J38)*EXP(-(X38+Y38*$F38)*$D38^(-(Z38+AA38*$E38))))),IF($C38="Pinus pinaster",IF(OR($D38="",$E38="",$H38="",$F38=""),"",(V38+W38*$E38)/(1+(X38+Y38*$H38)*EXP(-(Z38+AA38*$F38)*$D38))),IF($C38="Quercus pyrenaica",IF(OR($D38="",$E38="",$G38="",$J38=""),"",(V38+W38*$E38)*EXP((X38+Y38*$G38)*EXP(-(Z38+AA38*$J38)*$D38))),"")))),"")</f>
        <v/>
      </c>
      <c r="O38" s="15" t="str">
        <f aca="false">IFERROR(IF($C38="Pinus sylvestris",IF(OR($D38="",$H38="",$I38="",$J38=""),"",1.3+EXP((AB38+AC38*$H38)*EXP(-(AD38+AE38*$I38)*$D38^(-(AF38+AG38*$J38))))),IF($C38="Pinus nigra",IF(OR($D38="",$H38="",$L38="",$I38=""),"",1.3+EXP((AB38+AC38*$H38)*EXP(-(AD38+AE38*$L38)*$D38^(-(AF38+AG38*$I38))))),IF($C38="Pinus pinaster",IF(OR($D38="",$I38="",$K38=""),"",(AB38+AC38*$I38)/(1+(AD38+AE38*$K38)*EXP(-(AF38+AG38*$I38)*$D38))),IF($C38="Quercus pyrenaica",IF(OR($D38="",$L38="",$J38="",$I38=""),"",(AB38+AC38*$L38)*EXP((AD38+AE38*$J38)*EXP(-(AF38+AG38*$I38)*$D38))),"")))),"")</f>
        <v/>
      </c>
      <c r="P38" s="15" t="str">
        <f aca="false">IFERROR(IF(OR($C38="",$D38="",$E38="",$G38=""),"",1.3+(AH38+AI38*$E38-AJ38*$G38)*EXP(-AK38/SQRT($D38))),"")</f>
        <v/>
      </c>
      <c r="Q38" s="15" t="str">
        <f aca="false">IFERROR(IF(OR($C38="",$D38=""),"",1.3+AL38*(LN(1+$D38))^AM38),"")</f>
        <v/>
      </c>
      <c r="S38" s="1" t="str">
        <f aca="false">IF($C38="","",VLOOKUP($C38,coefs!$A:$V,2,FALSE()))</f>
        <v/>
      </c>
      <c r="T38" s="1" t="str">
        <f aca="false">IF($C38="","",VLOOKUP($C38,coefs!$A:$V,3,FALSE()))</f>
        <v/>
      </c>
      <c r="U38" s="1" t="str">
        <f aca="false">IF($C38="","",VLOOKUP($C38,coefs!$A:$V,4,FALSE()))</f>
        <v/>
      </c>
      <c r="V38" s="1" t="str">
        <f aca="false">IF($C38="","",VLOOKUP($C38,coefs!$A:$V,5,FALSE()))</f>
        <v/>
      </c>
      <c r="W38" s="1" t="str">
        <f aca="false">IF($C38="","",VLOOKUP($C38,coefs!$A:$V,6,FALSE()))</f>
        <v/>
      </c>
      <c r="X38" s="1" t="str">
        <f aca="false">IF($C38="","",VLOOKUP($C38,coefs!$A:$V,7,FALSE()))</f>
        <v/>
      </c>
      <c r="Y38" s="1" t="str">
        <f aca="false">IF($C38="","",VLOOKUP($C38,coefs!$A:$V,8,FALSE()))</f>
        <v/>
      </c>
      <c r="Z38" s="1" t="str">
        <f aca="false">IF($C38="","",VLOOKUP($C38,coefs!$A:$V,9,FALSE()))</f>
        <v/>
      </c>
      <c r="AA38" s="1" t="str">
        <f aca="false">IF($C38="","",VLOOKUP($C38,coefs!$A:$V,10,FALSE()))</f>
        <v/>
      </c>
      <c r="AB38" s="1" t="str">
        <f aca="false">IF($C38="","",VLOOKUP($C38,coefs!$A:$V,11,FALSE()))</f>
        <v/>
      </c>
      <c r="AC38" s="1" t="str">
        <f aca="false">IF($C38="","",VLOOKUP($C38,coefs!$A:$V,12,FALSE()))</f>
        <v/>
      </c>
      <c r="AD38" s="1" t="str">
        <f aca="false">IF($C38="","",VLOOKUP($C38,coefs!$A:$V,13,FALSE()))</f>
        <v/>
      </c>
      <c r="AE38" s="1" t="str">
        <f aca="false">IF($C38="","",VLOOKUP($C38,coefs!$A:$V,14,FALSE()))</f>
        <v/>
      </c>
      <c r="AF38" s="1" t="str">
        <f aca="false">IF($C38="","",VLOOKUP($C38,coefs!$A:$V,15,FALSE()))</f>
        <v/>
      </c>
      <c r="AG38" s="1" t="str">
        <f aca="false">IF($C38="","",VLOOKUP($C38,coefs!$A:$V,16,FALSE()))</f>
        <v/>
      </c>
      <c r="AH38" s="1" t="str">
        <f aca="false">IF($C38="","",VLOOKUP($C38,coefs!$A:$V,17,FALSE()))</f>
        <v/>
      </c>
      <c r="AI38" s="1" t="str">
        <f aca="false">IF($C38="","",VLOOKUP($C38,coefs!$A:$V,18,FALSE()))</f>
        <v/>
      </c>
      <c r="AJ38" s="1" t="str">
        <f aca="false">IF($C38="","",VLOOKUP($C38,coefs!$A:$V,19,FALSE()))</f>
        <v/>
      </c>
      <c r="AK38" s="1" t="str">
        <f aca="false">IF($C38="","",VLOOKUP($C38,coefs!$A:$V,20,FALSE()))</f>
        <v/>
      </c>
      <c r="AL38" s="1" t="str">
        <f aca="false">IF($C38="","",VLOOKUP($C38,coefs!$A:$V,21,FALSE()))</f>
        <v/>
      </c>
      <c r="AM38" s="1" t="str">
        <f aca="false">IF($C38="","",VLOOKUP($C38,coefs!$A:$V,22,FALSE()))</f>
        <v/>
      </c>
    </row>
    <row r="39" customFormat="false" ht="15" hidden="false" customHeight="true" outlineLevel="0" collapsed="false">
      <c r="A39" s="14"/>
      <c r="B39" s="14"/>
      <c r="C39" s="14"/>
      <c r="D39" s="15"/>
      <c r="E39" s="16"/>
      <c r="F39" s="16"/>
      <c r="G39" s="16"/>
      <c r="H39" s="17"/>
      <c r="I39" s="16"/>
      <c r="J39" s="16"/>
      <c r="K39" s="17"/>
      <c r="L39" s="17"/>
      <c r="M39" s="15" t="str">
        <f aca="false">IFERROR(IF(OR($C39="",$D39=""),"",IF($C39="Pinus pinaster",S39/(1+T39*EXP(-U39*$D39)),IF($C39="Quercus pyrenaica",S39*EXP(T39*EXP(-U39*$D39)),1.3+EXP(S39*EXP(-T39*$D39^(-U39)))))),"")</f>
        <v/>
      </c>
      <c r="N39" s="15" t="str">
        <f aca="false">IFERROR(IF($C39="Pinus sylvestris",IF(OR($D39="",$E39="",$F39=""),"",1.3+EXP((V39+W39*$E39)*EXP(-(X39+Y39*$F39)*$D39^(-(Z39+AA39*$E39))))),IF($C39="Pinus nigra",IF(OR($D39="",$E39="",$F39="",$J39=""),"",1.3+EXP((V39+W39*$J39)*EXP(-(X39+Y39*$F39)*$D39^(-(Z39+AA39*$E39))))),IF($C39="Pinus pinaster",IF(OR($D39="",$E39="",$H39="",$F39=""),"",(V39+W39*$E39)/(1+(X39+Y39*$H39)*EXP(-(Z39+AA39*$F39)*$D39))),IF($C39="Quercus pyrenaica",IF(OR($D39="",$E39="",$G39="",$J39=""),"",(V39+W39*$E39)*EXP((X39+Y39*$G39)*EXP(-(Z39+AA39*$J39)*$D39))),"")))),"")</f>
        <v/>
      </c>
      <c r="O39" s="15" t="str">
        <f aca="false">IFERROR(IF($C39="Pinus sylvestris",IF(OR($D39="",$H39="",$I39="",$J39=""),"",1.3+EXP((AB39+AC39*$H39)*EXP(-(AD39+AE39*$I39)*$D39^(-(AF39+AG39*$J39))))),IF($C39="Pinus nigra",IF(OR($D39="",$H39="",$L39="",$I39=""),"",1.3+EXP((AB39+AC39*$H39)*EXP(-(AD39+AE39*$L39)*$D39^(-(AF39+AG39*$I39))))),IF($C39="Pinus pinaster",IF(OR($D39="",$I39="",$K39=""),"",(AB39+AC39*$I39)/(1+(AD39+AE39*$K39)*EXP(-(AF39+AG39*$I39)*$D39))),IF($C39="Quercus pyrenaica",IF(OR($D39="",$L39="",$J39="",$I39=""),"",(AB39+AC39*$L39)*EXP((AD39+AE39*$J39)*EXP(-(AF39+AG39*$I39)*$D39))),"")))),"")</f>
        <v/>
      </c>
      <c r="P39" s="15" t="str">
        <f aca="false">IFERROR(IF(OR($C39="",$D39="",$E39="",$G39=""),"",1.3+(AH39+AI39*$E39-AJ39*$G39)*EXP(-AK39/SQRT($D39))),"")</f>
        <v/>
      </c>
      <c r="Q39" s="15" t="str">
        <f aca="false">IFERROR(IF(OR($C39="",$D39=""),"",1.3+AL39*(LN(1+$D39))^AM39),"")</f>
        <v/>
      </c>
      <c r="S39" s="1" t="str">
        <f aca="false">IF($C39="","",VLOOKUP($C39,coefs!$A:$V,2,FALSE()))</f>
        <v/>
      </c>
      <c r="T39" s="1" t="str">
        <f aca="false">IF($C39="","",VLOOKUP($C39,coefs!$A:$V,3,FALSE()))</f>
        <v/>
      </c>
      <c r="U39" s="1" t="str">
        <f aca="false">IF($C39="","",VLOOKUP($C39,coefs!$A:$V,4,FALSE()))</f>
        <v/>
      </c>
      <c r="V39" s="1" t="str">
        <f aca="false">IF($C39="","",VLOOKUP($C39,coefs!$A:$V,5,FALSE()))</f>
        <v/>
      </c>
      <c r="W39" s="1" t="str">
        <f aca="false">IF($C39="","",VLOOKUP($C39,coefs!$A:$V,6,FALSE()))</f>
        <v/>
      </c>
      <c r="X39" s="1" t="str">
        <f aca="false">IF($C39="","",VLOOKUP($C39,coefs!$A:$V,7,FALSE()))</f>
        <v/>
      </c>
      <c r="Y39" s="1" t="str">
        <f aca="false">IF($C39="","",VLOOKUP($C39,coefs!$A:$V,8,FALSE()))</f>
        <v/>
      </c>
      <c r="Z39" s="1" t="str">
        <f aca="false">IF($C39="","",VLOOKUP($C39,coefs!$A:$V,9,FALSE()))</f>
        <v/>
      </c>
      <c r="AA39" s="1" t="str">
        <f aca="false">IF($C39="","",VLOOKUP($C39,coefs!$A:$V,10,FALSE()))</f>
        <v/>
      </c>
      <c r="AB39" s="1" t="str">
        <f aca="false">IF($C39="","",VLOOKUP($C39,coefs!$A:$V,11,FALSE()))</f>
        <v/>
      </c>
      <c r="AC39" s="1" t="str">
        <f aca="false">IF($C39="","",VLOOKUP($C39,coefs!$A:$V,12,FALSE()))</f>
        <v/>
      </c>
      <c r="AD39" s="1" t="str">
        <f aca="false">IF($C39="","",VLOOKUP($C39,coefs!$A:$V,13,FALSE()))</f>
        <v/>
      </c>
      <c r="AE39" s="1" t="str">
        <f aca="false">IF($C39="","",VLOOKUP($C39,coefs!$A:$V,14,FALSE()))</f>
        <v/>
      </c>
      <c r="AF39" s="1" t="str">
        <f aca="false">IF($C39="","",VLOOKUP($C39,coefs!$A:$V,15,FALSE()))</f>
        <v/>
      </c>
      <c r="AG39" s="1" t="str">
        <f aca="false">IF($C39="","",VLOOKUP($C39,coefs!$A:$V,16,FALSE()))</f>
        <v/>
      </c>
      <c r="AH39" s="1" t="str">
        <f aca="false">IF($C39="","",VLOOKUP($C39,coefs!$A:$V,17,FALSE()))</f>
        <v/>
      </c>
      <c r="AI39" s="1" t="str">
        <f aca="false">IF($C39="","",VLOOKUP($C39,coefs!$A:$V,18,FALSE()))</f>
        <v/>
      </c>
      <c r="AJ39" s="1" t="str">
        <f aca="false">IF($C39="","",VLOOKUP($C39,coefs!$A:$V,19,FALSE()))</f>
        <v/>
      </c>
      <c r="AK39" s="1" t="str">
        <f aca="false">IF($C39="","",VLOOKUP($C39,coefs!$A:$V,20,FALSE()))</f>
        <v/>
      </c>
      <c r="AL39" s="1" t="str">
        <f aca="false">IF($C39="","",VLOOKUP($C39,coefs!$A:$V,21,FALSE()))</f>
        <v/>
      </c>
      <c r="AM39" s="1" t="str">
        <f aca="false">IF($C39="","",VLOOKUP($C39,coefs!$A:$V,22,FALSE()))</f>
        <v/>
      </c>
    </row>
    <row r="40" customFormat="false" ht="15" hidden="false" customHeight="true" outlineLevel="0" collapsed="false">
      <c r="A40" s="14"/>
      <c r="B40" s="14"/>
      <c r="C40" s="14"/>
      <c r="D40" s="15"/>
      <c r="E40" s="16"/>
      <c r="F40" s="16"/>
      <c r="G40" s="16"/>
      <c r="H40" s="17"/>
      <c r="I40" s="16"/>
      <c r="J40" s="16"/>
      <c r="K40" s="17"/>
      <c r="L40" s="17"/>
      <c r="M40" s="15" t="str">
        <f aca="false">IFERROR(IF(OR($C40="",$D40=""),"",IF($C40="Pinus pinaster",S40/(1+T40*EXP(-U40*$D40)),IF($C40="Quercus pyrenaica",S40*EXP(T40*EXP(-U40*$D40)),1.3+EXP(S40*EXP(-T40*$D40^(-U40)))))),"")</f>
        <v/>
      </c>
      <c r="N40" s="15" t="str">
        <f aca="false">IFERROR(IF($C40="Pinus sylvestris",IF(OR($D40="",$E40="",$F40=""),"",1.3+EXP((V40+W40*$E40)*EXP(-(X40+Y40*$F40)*$D40^(-(Z40+AA40*$E40))))),IF($C40="Pinus nigra",IF(OR($D40="",$E40="",$F40="",$J40=""),"",1.3+EXP((V40+W40*$J40)*EXP(-(X40+Y40*$F40)*$D40^(-(Z40+AA40*$E40))))),IF($C40="Pinus pinaster",IF(OR($D40="",$E40="",$H40="",$F40=""),"",(V40+W40*$E40)/(1+(X40+Y40*$H40)*EXP(-(Z40+AA40*$F40)*$D40))),IF($C40="Quercus pyrenaica",IF(OR($D40="",$E40="",$G40="",$J40=""),"",(V40+W40*$E40)*EXP((X40+Y40*$G40)*EXP(-(Z40+AA40*$J40)*$D40))),"")))),"")</f>
        <v/>
      </c>
      <c r="O40" s="15" t="str">
        <f aca="false">IFERROR(IF($C40="Pinus sylvestris",IF(OR($D40="",$H40="",$I40="",$J40=""),"",1.3+EXP((AB40+AC40*$H40)*EXP(-(AD40+AE40*$I40)*$D40^(-(AF40+AG40*$J40))))),IF($C40="Pinus nigra",IF(OR($D40="",$H40="",$L40="",$I40=""),"",1.3+EXP((AB40+AC40*$H40)*EXP(-(AD40+AE40*$L40)*$D40^(-(AF40+AG40*$I40))))),IF($C40="Pinus pinaster",IF(OR($D40="",$I40="",$K40=""),"",(AB40+AC40*$I40)/(1+(AD40+AE40*$K40)*EXP(-(AF40+AG40*$I40)*$D40))),IF($C40="Quercus pyrenaica",IF(OR($D40="",$L40="",$J40="",$I40=""),"",(AB40+AC40*$L40)*EXP((AD40+AE40*$J40)*EXP(-(AF40+AG40*$I40)*$D40))),"")))),"")</f>
        <v/>
      </c>
      <c r="P40" s="15" t="str">
        <f aca="false">IFERROR(IF(OR($C40="",$D40="",$E40="",$G40=""),"",1.3+(AH40+AI40*$E40-AJ40*$G40)*EXP(-AK40/SQRT($D40))),"")</f>
        <v/>
      </c>
      <c r="Q40" s="15" t="str">
        <f aca="false">IFERROR(IF(OR($C40="",$D40=""),"",1.3+AL40*(LN(1+$D40))^AM40),"")</f>
        <v/>
      </c>
      <c r="S40" s="1" t="str">
        <f aca="false">IF($C40="","",VLOOKUP($C40,coefs!$A:$V,2,FALSE()))</f>
        <v/>
      </c>
      <c r="T40" s="1" t="str">
        <f aca="false">IF($C40="","",VLOOKUP($C40,coefs!$A:$V,3,FALSE()))</f>
        <v/>
      </c>
      <c r="U40" s="1" t="str">
        <f aca="false">IF($C40="","",VLOOKUP($C40,coefs!$A:$V,4,FALSE()))</f>
        <v/>
      </c>
      <c r="V40" s="1" t="str">
        <f aca="false">IF($C40="","",VLOOKUP($C40,coefs!$A:$V,5,FALSE()))</f>
        <v/>
      </c>
      <c r="W40" s="1" t="str">
        <f aca="false">IF($C40="","",VLOOKUP($C40,coefs!$A:$V,6,FALSE()))</f>
        <v/>
      </c>
      <c r="X40" s="1" t="str">
        <f aca="false">IF($C40="","",VLOOKUP($C40,coefs!$A:$V,7,FALSE()))</f>
        <v/>
      </c>
      <c r="Y40" s="1" t="str">
        <f aca="false">IF($C40="","",VLOOKUP($C40,coefs!$A:$V,8,FALSE()))</f>
        <v/>
      </c>
      <c r="Z40" s="1" t="str">
        <f aca="false">IF($C40="","",VLOOKUP($C40,coefs!$A:$V,9,FALSE()))</f>
        <v/>
      </c>
      <c r="AA40" s="1" t="str">
        <f aca="false">IF($C40="","",VLOOKUP($C40,coefs!$A:$V,10,FALSE()))</f>
        <v/>
      </c>
      <c r="AB40" s="1" t="str">
        <f aca="false">IF($C40="","",VLOOKUP($C40,coefs!$A:$V,11,FALSE()))</f>
        <v/>
      </c>
      <c r="AC40" s="1" t="str">
        <f aca="false">IF($C40="","",VLOOKUP($C40,coefs!$A:$V,12,FALSE()))</f>
        <v/>
      </c>
      <c r="AD40" s="1" t="str">
        <f aca="false">IF($C40="","",VLOOKUP($C40,coefs!$A:$V,13,FALSE()))</f>
        <v/>
      </c>
      <c r="AE40" s="1" t="str">
        <f aca="false">IF($C40="","",VLOOKUP($C40,coefs!$A:$V,14,FALSE()))</f>
        <v/>
      </c>
      <c r="AF40" s="1" t="str">
        <f aca="false">IF($C40="","",VLOOKUP($C40,coefs!$A:$V,15,FALSE()))</f>
        <v/>
      </c>
      <c r="AG40" s="1" t="str">
        <f aca="false">IF($C40="","",VLOOKUP($C40,coefs!$A:$V,16,FALSE()))</f>
        <v/>
      </c>
      <c r="AH40" s="1" t="str">
        <f aca="false">IF($C40="","",VLOOKUP($C40,coefs!$A:$V,17,FALSE()))</f>
        <v/>
      </c>
      <c r="AI40" s="1" t="str">
        <f aca="false">IF($C40="","",VLOOKUP($C40,coefs!$A:$V,18,FALSE()))</f>
        <v/>
      </c>
      <c r="AJ40" s="1" t="str">
        <f aca="false">IF($C40="","",VLOOKUP($C40,coefs!$A:$V,19,FALSE()))</f>
        <v/>
      </c>
      <c r="AK40" s="1" t="str">
        <f aca="false">IF($C40="","",VLOOKUP($C40,coefs!$A:$V,20,FALSE()))</f>
        <v/>
      </c>
      <c r="AL40" s="1" t="str">
        <f aca="false">IF($C40="","",VLOOKUP($C40,coefs!$A:$V,21,FALSE()))</f>
        <v/>
      </c>
      <c r="AM40" s="1" t="str">
        <f aca="false">IF($C40="","",VLOOKUP($C40,coefs!$A:$V,22,FALSE()))</f>
        <v/>
      </c>
    </row>
    <row r="41" customFormat="false" ht="15" hidden="false" customHeight="true" outlineLevel="0" collapsed="false">
      <c r="A41" s="14"/>
      <c r="B41" s="14"/>
      <c r="C41" s="14"/>
      <c r="D41" s="15"/>
      <c r="E41" s="16"/>
      <c r="F41" s="16"/>
      <c r="G41" s="16"/>
      <c r="H41" s="17"/>
      <c r="I41" s="16"/>
      <c r="J41" s="16"/>
      <c r="K41" s="17"/>
      <c r="L41" s="17"/>
      <c r="M41" s="15" t="str">
        <f aca="false">IFERROR(IF(OR($C41="",$D41=""),"",IF($C41="Pinus pinaster",S41/(1+T41*EXP(-U41*$D41)),IF($C41="Quercus pyrenaica",S41*EXP(T41*EXP(-U41*$D41)),1.3+EXP(S41*EXP(-T41*$D41^(-U41)))))),"")</f>
        <v/>
      </c>
      <c r="N41" s="15" t="str">
        <f aca="false">IFERROR(IF($C41="Pinus sylvestris",IF(OR($D41="",$E41="",$F41=""),"",1.3+EXP((V41+W41*$E41)*EXP(-(X41+Y41*$F41)*$D41^(-(Z41+AA41*$E41))))),IF($C41="Pinus nigra",IF(OR($D41="",$E41="",$F41="",$J41=""),"",1.3+EXP((V41+W41*$J41)*EXP(-(X41+Y41*$F41)*$D41^(-(Z41+AA41*$E41))))),IF($C41="Pinus pinaster",IF(OR($D41="",$E41="",$H41="",$F41=""),"",(V41+W41*$E41)/(1+(X41+Y41*$H41)*EXP(-(Z41+AA41*$F41)*$D41))),IF($C41="Quercus pyrenaica",IF(OR($D41="",$E41="",$G41="",$J41=""),"",(V41+W41*$E41)*EXP((X41+Y41*$G41)*EXP(-(Z41+AA41*$J41)*$D41))),"")))),"")</f>
        <v/>
      </c>
      <c r="O41" s="15" t="str">
        <f aca="false">IFERROR(IF($C41="Pinus sylvestris",IF(OR($D41="",$H41="",$I41="",$J41=""),"",1.3+EXP((AB41+AC41*$H41)*EXP(-(AD41+AE41*$I41)*$D41^(-(AF41+AG41*$J41))))),IF($C41="Pinus nigra",IF(OR($D41="",$H41="",$L41="",$I41=""),"",1.3+EXP((AB41+AC41*$H41)*EXP(-(AD41+AE41*$L41)*$D41^(-(AF41+AG41*$I41))))),IF($C41="Pinus pinaster",IF(OR($D41="",$I41="",$K41=""),"",(AB41+AC41*$I41)/(1+(AD41+AE41*$K41)*EXP(-(AF41+AG41*$I41)*$D41))),IF($C41="Quercus pyrenaica",IF(OR($D41="",$L41="",$J41="",$I41=""),"",(AB41+AC41*$L41)*EXP((AD41+AE41*$J41)*EXP(-(AF41+AG41*$I41)*$D41))),"")))),"")</f>
        <v/>
      </c>
      <c r="P41" s="15" t="str">
        <f aca="false">IFERROR(IF(OR($C41="",$D41="",$E41="",$G41=""),"",1.3+(AH41+AI41*$E41-AJ41*$G41)*EXP(-AK41/SQRT($D41))),"")</f>
        <v/>
      </c>
      <c r="Q41" s="15" t="str">
        <f aca="false">IFERROR(IF(OR($C41="",$D41=""),"",1.3+AL41*(LN(1+$D41))^AM41),"")</f>
        <v/>
      </c>
      <c r="S41" s="1" t="str">
        <f aca="false">IF($C41="","",VLOOKUP($C41,coefs!$A:$V,2,FALSE()))</f>
        <v/>
      </c>
      <c r="T41" s="1" t="str">
        <f aca="false">IF($C41="","",VLOOKUP($C41,coefs!$A:$V,3,FALSE()))</f>
        <v/>
      </c>
      <c r="U41" s="1" t="str">
        <f aca="false">IF($C41="","",VLOOKUP($C41,coefs!$A:$V,4,FALSE()))</f>
        <v/>
      </c>
      <c r="V41" s="1" t="str">
        <f aca="false">IF($C41="","",VLOOKUP($C41,coefs!$A:$V,5,FALSE()))</f>
        <v/>
      </c>
      <c r="W41" s="1" t="str">
        <f aca="false">IF($C41="","",VLOOKUP($C41,coefs!$A:$V,6,FALSE()))</f>
        <v/>
      </c>
      <c r="X41" s="1" t="str">
        <f aca="false">IF($C41="","",VLOOKUP($C41,coefs!$A:$V,7,FALSE()))</f>
        <v/>
      </c>
      <c r="Y41" s="1" t="str">
        <f aca="false">IF($C41="","",VLOOKUP($C41,coefs!$A:$V,8,FALSE()))</f>
        <v/>
      </c>
      <c r="Z41" s="1" t="str">
        <f aca="false">IF($C41="","",VLOOKUP($C41,coefs!$A:$V,9,FALSE()))</f>
        <v/>
      </c>
      <c r="AA41" s="1" t="str">
        <f aca="false">IF($C41="","",VLOOKUP($C41,coefs!$A:$V,10,FALSE()))</f>
        <v/>
      </c>
      <c r="AB41" s="1" t="str">
        <f aca="false">IF($C41="","",VLOOKUP($C41,coefs!$A:$V,11,FALSE()))</f>
        <v/>
      </c>
      <c r="AC41" s="1" t="str">
        <f aca="false">IF($C41="","",VLOOKUP($C41,coefs!$A:$V,12,FALSE()))</f>
        <v/>
      </c>
      <c r="AD41" s="1" t="str">
        <f aca="false">IF($C41="","",VLOOKUP($C41,coefs!$A:$V,13,FALSE()))</f>
        <v/>
      </c>
      <c r="AE41" s="1" t="str">
        <f aca="false">IF($C41="","",VLOOKUP($C41,coefs!$A:$V,14,FALSE()))</f>
        <v/>
      </c>
      <c r="AF41" s="1" t="str">
        <f aca="false">IF($C41="","",VLOOKUP($C41,coefs!$A:$V,15,FALSE()))</f>
        <v/>
      </c>
      <c r="AG41" s="1" t="str">
        <f aca="false">IF($C41="","",VLOOKUP($C41,coefs!$A:$V,16,FALSE()))</f>
        <v/>
      </c>
      <c r="AH41" s="1" t="str">
        <f aca="false">IF($C41="","",VLOOKUP($C41,coefs!$A:$V,17,FALSE()))</f>
        <v/>
      </c>
      <c r="AI41" s="1" t="str">
        <f aca="false">IF($C41="","",VLOOKUP($C41,coefs!$A:$V,18,FALSE()))</f>
        <v/>
      </c>
      <c r="AJ41" s="1" t="str">
        <f aca="false">IF($C41="","",VLOOKUP($C41,coefs!$A:$V,19,FALSE()))</f>
        <v/>
      </c>
      <c r="AK41" s="1" t="str">
        <f aca="false">IF($C41="","",VLOOKUP($C41,coefs!$A:$V,20,FALSE()))</f>
        <v/>
      </c>
      <c r="AL41" s="1" t="str">
        <f aca="false">IF($C41="","",VLOOKUP($C41,coefs!$A:$V,21,FALSE()))</f>
        <v/>
      </c>
      <c r="AM41" s="1" t="str">
        <f aca="false">IF($C41="","",VLOOKUP($C41,coefs!$A:$V,22,FALSE()))</f>
        <v/>
      </c>
    </row>
    <row r="42" customFormat="false" ht="15" hidden="false" customHeight="true" outlineLevel="0" collapsed="false">
      <c r="A42" s="14"/>
      <c r="B42" s="14"/>
      <c r="C42" s="14"/>
      <c r="D42" s="15"/>
      <c r="E42" s="16"/>
      <c r="F42" s="16"/>
      <c r="G42" s="16"/>
      <c r="H42" s="17"/>
      <c r="I42" s="16"/>
      <c r="J42" s="16"/>
      <c r="K42" s="17"/>
      <c r="L42" s="17"/>
      <c r="M42" s="15" t="str">
        <f aca="false">IFERROR(IF(OR($C42="",$D42=""),"",IF($C42="Pinus pinaster",S42/(1+T42*EXP(-U42*$D42)),IF($C42="Quercus pyrenaica",S42*EXP(T42*EXP(-U42*$D42)),1.3+EXP(S42*EXP(-T42*$D42^(-U42)))))),"")</f>
        <v/>
      </c>
      <c r="N42" s="15" t="str">
        <f aca="false">IFERROR(IF($C42="Pinus sylvestris",IF(OR($D42="",$E42="",$F42=""),"",1.3+EXP((V42+W42*$E42)*EXP(-(X42+Y42*$F42)*$D42^(-(Z42+AA42*$E42))))),IF($C42="Pinus nigra",IF(OR($D42="",$E42="",$F42="",$J42=""),"",1.3+EXP((V42+W42*$J42)*EXP(-(X42+Y42*$F42)*$D42^(-(Z42+AA42*$E42))))),IF($C42="Pinus pinaster",IF(OR($D42="",$E42="",$H42="",$F42=""),"",(V42+W42*$E42)/(1+(X42+Y42*$H42)*EXP(-(Z42+AA42*$F42)*$D42))),IF($C42="Quercus pyrenaica",IF(OR($D42="",$E42="",$G42="",$J42=""),"",(V42+W42*$E42)*EXP((X42+Y42*$G42)*EXP(-(Z42+AA42*$J42)*$D42))),"")))),"")</f>
        <v/>
      </c>
      <c r="O42" s="15" t="str">
        <f aca="false">IFERROR(IF($C42="Pinus sylvestris",IF(OR($D42="",$H42="",$I42="",$J42=""),"",1.3+EXP((AB42+AC42*$H42)*EXP(-(AD42+AE42*$I42)*$D42^(-(AF42+AG42*$J42))))),IF($C42="Pinus nigra",IF(OR($D42="",$H42="",$L42="",$I42=""),"",1.3+EXP((AB42+AC42*$H42)*EXP(-(AD42+AE42*$L42)*$D42^(-(AF42+AG42*$I42))))),IF($C42="Pinus pinaster",IF(OR($D42="",$I42="",$K42=""),"",(AB42+AC42*$I42)/(1+(AD42+AE42*$K42)*EXP(-(AF42+AG42*$I42)*$D42))),IF($C42="Quercus pyrenaica",IF(OR($D42="",$L42="",$J42="",$I42=""),"",(AB42+AC42*$L42)*EXP((AD42+AE42*$J42)*EXP(-(AF42+AG42*$I42)*$D42))),"")))),"")</f>
        <v/>
      </c>
      <c r="P42" s="15" t="str">
        <f aca="false">IFERROR(IF(OR($C42="",$D42="",$E42="",$G42=""),"",1.3+(AH42+AI42*$E42-AJ42*$G42)*EXP(-AK42/SQRT($D42))),"")</f>
        <v/>
      </c>
      <c r="Q42" s="15" t="str">
        <f aca="false">IFERROR(IF(OR($C42="",$D42=""),"",1.3+AL42*(LN(1+$D42))^AM42),"")</f>
        <v/>
      </c>
      <c r="S42" s="1" t="str">
        <f aca="false">IF($C42="","",VLOOKUP($C42,coefs!$A:$V,2,FALSE()))</f>
        <v/>
      </c>
      <c r="T42" s="1" t="str">
        <f aca="false">IF($C42="","",VLOOKUP($C42,coefs!$A:$V,3,FALSE()))</f>
        <v/>
      </c>
      <c r="U42" s="1" t="str">
        <f aca="false">IF($C42="","",VLOOKUP($C42,coefs!$A:$V,4,FALSE()))</f>
        <v/>
      </c>
      <c r="V42" s="1" t="str">
        <f aca="false">IF($C42="","",VLOOKUP($C42,coefs!$A:$V,5,FALSE()))</f>
        <v/>
      </c>
      <c r="W42" s="1" t="str">
        <f aca="false">IF($C42="","",VLOOKUP($C42,coefs!$A:$V,6,FALSE()))</f>
        <v/>
      </c>
      <c r="X42" s="1" t="str">
        <f aca="false">IF($C42="","",VLOOKUP($C42,coefs!$A:$V,7,FALSE()))</f>
        <v/>
      </c>
      <c r="Y42" s="1" t="str">
        <f aca="false">IF($C42="","",VLOOKUP($C42,coefs!$A:$V,8,FALSE()))</f>
        <v/>
      </c>
      <c r="Z42" s="1" t="str">
        <f aca="false">IF($C42="","",VLOOKUP($C42,coefs!$A:$V,9,FALSE()))</f>
        <v/>
      </c>
      <c r="AA42" s="1" t="str">
        <f aca="false">IF($C42="","",VLOOKUP($C42,coefs!$A:$V,10,FALSE()))</f>
        <v/>
      </c>
      <c r="AB42" s="1" t="str">
        <f aca="false">IF($C42="","",VLOOKUP($C42,coefs!$A:$V,11,FALSE()))</f>
        <v/>
      </c>
      <c r="AC42" s="1" t="str">
        <f aca="false">IF($C42="","",VLOOKUP($C42,coefs!$A:$V,12,FALSE()))</f>
        <v/>
      </c>
      <c r="AD42" s="1" t="str">
        <f aca="false">IF($C42="","",VLOOKUP($C42,coefs!$A:$V,13,FALSE()))</f>
        <v/>
      </c>
      <c r="AE42" s="1" t="str">
        <f aca="false">IF($C42="","",VLOOKUP($C42,coefs!$A:$V,14,FALSE()))</f>
        <v/>
      </c>
      <c r="AF42" s="1" t="str">
        <f aca="false">IF($C42="","",VLOOKUP($C42,coefs!$A:$V,15,FALSE()))</f>
        <v/>
      </c>
      <c r="AG42" s="1" t="str">
        <f aca="false">IF($C42="","",VLOOKUP($C42,coefs!$A:$V,16,FALSE()))</f>
        <v/>
      </c>
      <c r="AH42" s="1" t="str">
        <f aca="false">IF($C42="","",VLOOKUP($C42,coefs!$A:$V,17,FALSE()))</f>
        <v/>
      </c>
      <c r="AI42" s="1" t="str">
        <f aca="false">IF($C42="","",VLOOKUP($C42,coefs!$A:$V,18,FALSE()))</f>
        <v/>
      </c>
      <c r="AJ42" s="1" t="str">
        <f aca="false">IF($C42="","",VLOOKUP($C42,coefs!$A:$V,19,FALSE()))</f>
        <v/>
      </c>
      <c r="AK42" s="1" t="str">
        <f aca="false">IF($C42="","",VLOOKUP($C42,coefs!$A:$V,20,FALSE()))</f>
        <v/>
      </c>
      <c r="AL42" s="1" t="str">
        <f aca="false">IF($C42="","",VLOOKUP($C42,coefs!$A:$V,21,FALSE()))</f>
        <v/>
      </c>
      <c r="AM42" s="1" t="str">
        <f aca="false">IF($C42="","",VLOOKUP($C42,coefs!$A:$V,22,FALSE()))</f>
        <v/>
      </c>
    </row>
    <row r="43" customFormat="false" ht="15" hidden="false" customHeight="true" outlineLevel="0" collapsed="false">
      <c r="A43" s="14"/>
      <c r="B43" s="14"/>
      <c r="C43" s="14"/>
      <c r="D43" s="15"/>
      <c r="E43" s="16"/>
      <c r="F43" s="16"/>
      <c r="G43" s="16"/>
      <c r="H43" s="17"/>
      <c r="I43" s="16"/>
      <c r="J43" s="16"/>
      <c r="K43" s="17"/>
      <c r="L43" s="17"/>
      <c r="M43" s="15" t="str">
        <f aca="false">IFERROR(IF(OR($C43="",$D43=""),"",IF($C43="Pinus pinaster",S43/(1+T43*EXP(-U43*$D43)),IF($C43="Quercus pyrenaica",S43*EXP(T43*EXP(-U43*$D43)),1.3+EXP(S43*EXP(-T43*$D43^(-U43)))))),"")</f>
        <v/>
      </c>
      <c r="N43" s="15" t="str">
        <f aca="false">IFERROR(IF($C43="Pinus sylvestris",IF(OR($D43="",$E43="",$F43=""),"",1.3+EXP((V43+W43*$E43)*EXP(-(X43+Y43*$F43)*$D43^(-(Z43+AA43*$E43))))),IF($C43="Pinus nigra",IF(OR($D43="",$E43="",$F43="",$J43=""),"",1.3+EXP((V43+W43*$J43)*EXP(-(X43+Y43*$F43)*$D43^(-(Z43+AA43*$E43))))),IF($C43="Pinus pinaster",IF(OR($D43="",$E43="",$H43="",$F43=""),"",(V43+W43*$E43)/(1+(X43+Y43*$H43)*EXP(-(Z43+AA43*$F43)*$D43))),IF($C43="Quercus pyrenaica",IF(OR($D43="",$E43="",$G43="",$J43=""),"",(V43+W43*$E43)*EXP((X43+Y43*$G43)*EXP(-(Z43+AA43*$J43)*$D43))),"")))),"")</f>
        <v/>
      </c>
      <c r="O43" s="15" t="str">
        <f aca="false">IFERROR(IF($C43="Pinus sylvestris",IF(OR($D43="",$H43="",$I43="",$J43=""),"",1.3+EXP((AB43+AC43*$H43)*EXP(-(AD43+AE43*$I43)*$D43^(-(AF43+AG43*$J43))))),IF($C43="Pinus nigra",IF(OR($D43="",$H43="",$L43="",$I43=""),"",1.3+EXP((AB43+AC43*$H43)*EXP(-(AD43+AE43*$L43)*$D43^(-(AF43+AG43*$I43))))),IF($C43="Pinus pinaster",IF(OR($D43="",$I43="",$K43=""),"",(AB43+AC43*$I43)/(1+(AD43+AE43*$K43)*EXP(-(AF43+AG43*$I43)*$D43))),IF($C43="Quercus pyrenaica",IF(OR($D43="",$L43="",$J43="",$I43=""),"",(AB43+AC43*$L43)*EXP((AD43+AE43*$J43)*EXP(-(AF43+AG43*$I43)*$D43))),"")))),"")</f>
        <v/>
      </c>
      <c r="P43" s="15" t="str">
        <f aca="false">IFERROR(IF(OR($C43="",$D43="",$E43="",$G43=""),"",1.3+(AH43+AI43*$E43-AJ43*$G43)*EXP(-AK43/SQRT($D43))),"")</f>
        <v/>
      </c>
      <c r="Q43" s="15" t="str">
        <f aca="false">IFERROR(IF(OR($C43="",$D43=""),"",1.3+AL43*(LN(1+$D43))^AM43),"")</f>
        <v/>
      </c>
      <c r="S43" s="1" t="str">
        <f aca="false">IF($C43="","",VLOOKUP($C43,coefs!$A:$V,2,FALSE()))</f>
        <v/>
      </c>
      <c r="T43" s="1" t="str">
        <f aca="false">IF($C43="","",VLOOKUP($C43,coefs!$A:$V,3,FALSE()))</f>
        <v/>
      </c>
      <c r="U43" s="1" t="str">
        <f aca="false">IF($C43="","",VLOOKUP($C43,coefs!$A:$V,4,FALSE()))</f>
        <v/>
      </c>
      <c r="V43" s="1" t="str">
        <f aca="false">IF($C43="","",VLOOKUP($C43,coefs!$A:$V,5,FALSE()))</f>
        <v/>
      </c>
      <c r="W43" s="1" t="str">
        <f aca="false">IF($C43="","",VLOOKUP($C43,coefs!$A:$V,6,FALSE()))</f>
        <v/>
      </c>
      <c r="X43" s="1" t="str">
        <f aca="false">IF($C43="","",VLOOKUP($C43,coefs!$A:$V,7,FALSE()))</f>
        <v/>
      </c>
      <c r="Y43" s="1" t="str">
        <f aca="false">IF($C43="","",VLOOKUP($C43,coefs!$A:$V,8,FALSE()))</f>
        <v/>
      </c>
      <c r="Z43" s="1" t="str">
        <f aca="false">IF($C43="","",VLOOKUP($C43,coefs!$A:$V,9,FALSE()))</f>
        <v/>
      </c>
      <c r="AA43" s="1" t="str">
        <f aca="false">IF($C43="","",VLOOKUP($C43,coefs!$A:$V,10,FALSE()))</f>
        <v/>
      </c>
      <c r="AB43" s="1" t="str">
        <f aca="false">IF($C43="","",VLOOKUP($C43,coefs!$A:$V,11,FALSE()))</f>
        <v/>
      </c>
      <c r="AC43" s="1" t="str">
        <f aca="false">IF($C43="","",VLOOKUP($C43,coefs!$A:$V,12,FALSE()))</f>
        <v/>
      </c>
      <c r="AD43" s="1" t="str">
        <f aca="false">IF($C43="","",VLOOKUP($C43,coefs!$A:$V,13,FALSE()))</f>
        <v/>
      </c>
      <c r="AE43" s="1" t="str">
        <f aca="false">IF($C43="","",VLOOKUP($C43,coefs!$A:$V,14,FALSE()))</f>
        <v/>
      </c>
      <c r="AF43" s="1" t="str">
        <f aca="false">IF($C43="","",VLOOKUP($C43,coefs!$A:$V,15,FALSE()))</f>
        <v/>
      </c>
      <c r="AG43" s="1" t="str">
        <f aca="false">IF($C43="","",VLOOKUP($C43,coefs!$A:$V,16,FALSE()))</f>
        <v/>
      </c>
      <c r="AH43" s="1" t="str">
        <f aca="false">IF($C43="","",VLOOKUP($C43,coefs!$A:$V,17,FALSE()))</f>
        <v/>
      </c>
      <c r="AI43" s="1" t="str">
        <f aca="false">IF($C43="","",VLOOKUP($C43,coefs!$A:$V,18,FALSE()))</f>
        <v/>
      </c>
      <c r="AJ43" s="1" t="str">
        <f aca="false">IF($C43="","",VLOOKUP($C43,coefs!$A:$V,19,FALSE()))</f>
        <v/>
      </c>
      <c r="AK43" s="1" t="str">
        <f aca="false">IF($C43="","",VLOOKUP($C43,coefs!$A:$V,20,FALSE()))</f>
        <v/>
      </c>
      <c r="AL43" s="1" t="str">
        <f aca="false">IF($C43="","",VLOOKUP($C43,coefs!$A:$V,21,FALSE()))</f>
        <v/>
      </c>
      <c r="AM43" s="1" t="str">
        <f aca="false">IF($C43="","",VLOOKUP($C43,coefs!$A:$V,22,FALSE()))</f>
        <v/>
      </c>
    </row>
    <row r="44" customFormat="false" ht="15" hidden="false" customHeight="true" outlineLevel="0" collapsed="false">
      <c r="A44" s="14"/>
      <c r="B44" s="14"/>
      <c r="C44" s="14"/>
      <c r="D44" s="15"/>
      <c r="E44" s="16"/>
      <c r="F44" s="16"/>
      <c r="G44" s="16"/>
      <c r="H44" s="17"/>
      <c r="I44" s="16"/>
      <c r="J44" s="16"/>
      <c r="K44" s="17"/>
      <c r="L44" s="17"/>
      <c r="M44" s="15" t="str">
        <f aca="false">IFERROR(IF(OR($C44="",$D44=""),"",IF($C44="Pinus pinaster",S44/(1+T44*EXP(-U44*$D44)),IF($C44="Quercus pyrenaica",S44*EXP(T44*EXP(-U44*$D44)),1.3+EXP(S44*EXP(-T44*$D44^(-U44)))))),"")</f>
        <v/>
      </c>
      <c r="N44" s="15" t="str">
        <f aca="false">IFERROR(IF($C44="Pinus sylvestris",IF(OR($D44="",$E44="",$F44=""),"",1.3+EXP((V44+W44*$E44)*EXP(-(X44+Y44*$F44)*$D44^(-(Z44+AA44*$E44))))),IF($C44="Pinus nigra",IF(OR($D44="",$E44="",$F44="",$J44=""),"",1.3+EXP((V44+W44*$J44)*EXP(-(X44+Y44*$F44)*$D44^(-(Z44+AA44*$E44))))),IF($C44="Pinus pinaster",IF(OR($D44="",$E44="",$H44="",$F44=""),"",(V44+W44*$E44)/(1+(X44+Y44*$H44)*EXP(-(Z44+AA44*$F44)*$D44))),IF($C44="Quercus pyrenaica",IF(OR($D44="",$E44="",$G44="",$J44=""),"",(V44+W44*$E44)*EXP((X44+Y44*$G44)*EXP(-(Z44+AA44*$J44)*$D44))),"")))),"")</f>
        <v/>
      </c>
      <c r="O44" s="15" t="str">
        <f aca="false">IFERROR(IF($C44="Pinus sylvestris",IF(OR($D44="",$H44="",$I44="",$J44=""),"",1.3+EXP((AB44+AC44*$H44)*EXP(-(AD44+AE44*$I44)*$D44^(-(AF44+AG44*$J44))))),IF($C44="Pinus nigra",IF(OR($D44="",$H44="",$L44="",$I44=""),"",1.3+EXP((AB44+AC44*$H44)*EXP(-(AD44+AE44*$L44)*$D44^(-(AF44+AG44*$I44))))),IF($C44="Pinus pinaster",IF(OR($D44="",$I44="",$K44=""),"",(AB44+AC44*$I44)/(1+(AD44+AE44*$K44)*EXP(-(AF44+AG44*$I44)*$D44))),IF($C44="Quercus pyrenaica",IF(OR($D44="",$L44="",$J44="",$I44=""),"",(AB44+AC44*$L44)*EXP((AD44+AE44*$J44)*EXP(-(AF44+AG44*$I44)*$D44))),"")))),"")</f>
        <v/>
      </c>
      <c r="P44" s="15" t="str">
        <f aca="false">IFERROR(IF(OR($C44="",$D44="",$E44="",$G44=""),"",1.3+(AH44+AI44*$E44-AJ44*$G44)*EXP(-AK44/SQRT($D44))),"")</f>
        <v/>
      </c>
      <c r="Q44" s="15" t="str">
        <f aca="false">IFERROR(IF(OR($C44="",$D44=""),"",1.3+AL44*(LN(1+$D44))^AM44),"")</f>
        <v/>
      </c>
      <c r="S44" s="1" t="str">
        <f aca="false">IF($C44="","",VLOOKUP($C44,coefs!$A:$V,2,FALSE()))</f>
        <v/>
      </c>
      <c r="T44" s="1" t="str">
        <f aca="false">IF($C44="","",VLOOKUP($C44,coefs!$A:$V,3,FALSE()))</f>
        <v/>
      </c>
      <c r="U44" s="1" t="str">
        <f aca="false">IF($C44="","",VLOOKUP($C44,coefs!$A:$V,4,FALSE()))</f>
        <v/>
      </c>
      <c r="V44" s="1" t="str">
        <f aca="false">IF($C44="","",VLOOKUP($C44,coefs!$A:$V,5,FALSE()))</f>
        <v/>
      </c>
      <c r="W44" s="1" t="str">
        <f aca="false">IF($C44="","",VLOOKUP($C44,coefs!$A:$V,6,FALSE()))</f>
        <v/>
      </c>
      <c r="X44" s="1" t="str">
        <f aca="false">IF($C44="","",VLOOKUP($C44,coefs!$A:$V,7,FALSE()))</f>
        <v/>
      </c>
      <c r="Y44" s="1" t="str">
        <f aca="false">IF($C44="","",VLOOKUP($C44,coefs!$A:$V,8,FALSE()))</f>
        <v/>
      </c>
      <c r="Z44" s="1" t="str">
        <f aca="false">IF($C44="","",VLOOKUP($C44,coefs!$A:$V,9,FALSE()))</f>
        <v/>
      </c>
      <c r="AA44" s="1" t="str">
        <f aca="false">IF($C44="","",VLOOKUP($C44,coefs!$A:$V,10,FALSE()))</f>
        <v/>
      </c>
      <c r="AB44" s="1" t="str">
        <f aca="false">IF($C44="","",VLOOKUP($C44,coefs!$A:$V,11,FALSE()))</f>
        <v/>
      </c>
      <c r="AC44" s="1" t="str">
        <f aca="false">IF($C44="","",VLOOKUP($C44,coefs!$A:$V,12,FALSE()))</f>
        <v/>
      </c>
      <c r="AD44" s="1" t="str">
        <f aca="false">IF($C44="","",VLOOKUP($C44,coefs!$A:$V,13,FALSE()))</f>
        <v/>
      </c>
      <c r="AE44" s="1" t="str">
        <f aca="false">IF($C44="","",VLOOKUP($C44,coefs!$A:$V,14,FALSE()))</f>
        <v/>
      </c>
      <c r="AF44" s="1" t="str">
        <f aca="false">IF($C44="","",VLOOKUP($C44,coefs!$A:$V,15,FALSE()))</f>
        <v/>
      </c>
      <c r="AG44" s="1" t="str">
        <f aca="false">IF($C44="","",VLOOKUP($C44,coefs!$A:$V,16,FALSE()))</f>
        <v/>
      </c>
      <c r="AH44" s="1" t="str">
        <f aca="false">IF($C44="","",VLOOKUP($C44,coefs!$A:$V,17,FALSE()))</f>
        <v/>
      </c>
      <c r="AI44" s="1" t="str">
        <f aca="false">IF($C44="","",VLOOKUP($C44,coefs!$A:$V,18,FALSE()))</f>
        <v/>
      </c>
      <c r="AJ44" s="1" t="str">
        <f aca="false">IF($C44="","",VLOOKUP($C44,coefs!$A:$V,19,FALSE()))</f>
        <v/>
      </c>
      <c r="AK44" s="1" t="str">
        <f aca="false">IF($C44="","",VLOOKUP($C44,coefs!$A:$V,20,FALSE()))</f>
        <v/>
      </c>
      <c r="AL44" s="1" t="str">
        <f aca="false">IF($C44="","",VLOOKUP($C44,coefs!$A:$V,21,FALSE()))</f>
        <v/>
      </c>
      <c r="AM44" s="1" t="str">
        <f aca="false">IF($C44="","",VLOOKUP($C44,coefs!$A:$V,22,FALSE()))</f>
        <v/>
      </c>
    </row>
    <row r="45" customFormat="false" ht="15" hidden="false" customHeight="true" outlineLevel="0" collapsed="false">
      <c r="A45" s="14"/>
      <c r="B45" s="14"/>
      <c r="C45" s="14"/>
      <c r="D45" s="15"/>
      <c r="E45" s="16"/>
      <c r="F45" s="16"/>
      <c r="G45" s="16"/>
      <c r="H45" s="17"/>
      <c r="I45" s="16"/>
      <c r="J45" s="16"/>
      <c r="K45" s="17"/>
      <c r="L45" s="17"/>
      <c r="M45" s="15" t="str">
        <f aca="false">IFERROR(IF(OR($C45="",$D45=""),"",IF($C45="Pinus pinaster",S45/(1+T45*EXP(-U45*$D45)),IF($C45="Quercus pyrenaica",S45*EXP(T45*EXP(-U45*$D45)),1.3+EXP(S45*EXP(-T45*$D45^(-U45)))))),"")</f>
        <v/>
      </c>
      <c r="N45" s="15" t="str">
        <f aca="false">IFERROR(IF($C45="Pinus sylvestris",IF(OR($D45="",$E45="",$F45=""),"",1.3+EXP((V45+W45*$E45)*EXP(-(X45+Y45*$F45)*$D45^(-(Z45+AA45*$E45))))),IF($C45="Pinus nigra",IF(OR($D45="",$E45="",$F45="",$J45=""),"",1.3+EXP((V45+W45*$J45)*EXP(-(X45+Y45*$F45)*$D45^(-(Z45+AA45*$E45))))),IF($C45="Pinus pinaster",IF(OR($D45="",$E45="",$H45="",$F45=""),"",(V45+W45*$E45)/(1+(X45+Y45*$H45)*EXP(-(Z45+AA45*$F45)*$D45))),IF($C45="Quercus pyrenaica",IF(OR($D45="",$E45="",$G45="",$J45=""),"",(V45+W45*$E45)*EXP((X45+Y45*$G45)*EXP(-(Z45+AA45*$J45)*$D45))),"")))),"")</f>
        <v/>
      </c>
      <c r="O45" s="15" t="str">
        <f aca="false">IFERROR(IF($C45="Pinus sylvestris",IF(OR($D45="",$H45="",$I45="",$J45=""),"",1.3+EXP((AB45+AC45*$H45)*EXP(-(AD45+AE45*$I45)*$D45^(-(AF45+AG45*$J45))))),IF($C45="Pinus nigra",IF(OR($D45="",$H45="",$L45="",$I45=""),"",1.3+EXP((AB45+AC45*$H45)*EXP(-(AD45+AE45*$L45)*$D45^(-(AF45+AG45*$I45))))),IF($C45="Pinus pinaster",IF(OR($D45="",$I45="",$K45=""),"",(AB45+AC45*$I45)/(1+(AD45+AE45*$K45)*EXP(-(AF45+AG45*$I45)*$D45))),IF($C45="Quercus pyrenaica",IF(OR($D45="",$L45="",$J45="",$I45=""),"",(AB45+AC45*$L45)*EXP((AD45+AE45*$J45)*EXP(-(AF45+AG45*$I45)*$D45))),"")))),"")</f>
        <v/>
      </c>
      <c r="P45" s="15" t="str">
        <f aca="false">IFERROR(IF(OR($C45="",$D45="",$E45="",$G45=""),"",1.3+(AH45+AI45*$E45-AJ45*$G45)*EXP(-AK45/SQRT($D45))),"")</f>
        <v/>
      </c>
      <c r="Q45" s="15" t="str">
        <f aca="false">IFERROR(IF(OR($C45="",$D45=""),"",1.3+AL45*(LN(1+$D45))^AM45),"")</f>
        <v/>
      </c>
      <c r="S45" s="1" t="str">
        <f aca="false">IF($C45="","",VLOOKUP($C45,coefs!$A:$V,2,FALSE()))</f>
        <v/>
      </c>
      <c r="T45" s="1" t="str">
        <f aca="false">IF($C45="","",VLOOKUP($C45,coefs!$A:$V,3,FALSE()))</f>
        <v/>
      </c>
      <c r="U45" s="1" t="str">
        <f aca="false">IF($C45="","",VLOOKUP($C45,coefs!$A:$V,4,FALSE()))</f>
        <v/>
      </c>
      <c r="V45" s="1" t="str">
        <f aca="false">IF($C45="","",VLOOKUP($C45,coefs!$A:$V,5,FALSE()))</f>
        <v/>
      </c>
      <c r="W45" s="1" t="str">
        <f aca="false">IF($C45="","",VLOOKUP($C45,coefs!$A:$V,6,FALSE()))</f>
        <v/>
      </c>
      <c r="X45" s="1" t="str">
        <f aca="false">IF($C45="","",VLOOKUP($C45,coefs!$A:$V,7,FALSE()))</f>
        <v/>
      </c>
      <c r="Y45" s="1" t="str">
        <f aca="false">IF($C45="","",VLOOKUP($C45,coefs!$A:$V,8,FALSE()))</f>
        <v/>
      </c>
      <c r="Z45" s="1" t="str">
        <f aca="false">IF($C45="","",VLOOKUP($C45,coefs!$A:$V,9,FALSE()))</f>
        <v/>
      </c>
      <c r="AA45" s="1" t="str">
        <f aca="false">IF($C45="","",VLOOKUP($C45,coefs!$A:$V,10,FALSE()))</f>
        <v/>
      </c>
      <c r="AB45" s="1" t="str">
        <f aca="false">IF($C45="","",VLOOKUP($C45,coefs!$A:$V,11,FALSE()))</f>
        <v/>
      </c>
      <c r="AC45" s="1" t="str">
        <f aca="false">IF($C45="","",VLOOKUP($C45,coefs!$A:$V,12,FALSE()))</f>
        <v/>
      </c>
      <c r="AD45" s="1" t="str">
        <f aca="false">IF($C45="","",VLOOKUP($C45,coefs!$A:$V,13,FALSE()))</f>
        <v/>
      </c>
      <c r="AE45" s="1" t="str">
        <f aca="false">IF($C45="","",VLOOKUP($C45,coefs!$A:$V,14,FALSE()))</f>
        <v/>
      </c>
      <c r="AF45" s="1" t="str">
        <f aca="false">IF($C45="","",VLOOKUP($C45,coefs!$A:$V,15,FALSE()))</f>
        <v/>
      </c>
      <c r="AG45" s="1" t="str">
        <f aca="false">IF($C45="","",VLOOKUP($C45,coefs!$A:$V,16,FALSE()))</f>
        <v/>
      </c>
      <c r="AH45" s="1" t="str">
        <f aca="false">IF($C45="","",VLOOKUP($C45,coefs!$A:$V,17,FALSE()))</f>
        <v/>
      </c>
      <c r="AI45" s="1" t="str">
        <f aca="false">IF($C45="","",VLOOKUP($C45,coefs!$A:$V,18,FALSE()))</f>
        <v/>
      </c>
      <c r="AJ45" s="1" t="str">
        <f aca="false">IF($C45="","",VLOOKUP($C45,coefs!$A:$V,19,FALSE()))</f>
        <v/>
      </c>
      <c r="AK45" s="1" t="str">
        <f aca="false">IF($C45="","",VLOOKUP($C45,coefs!$A:$V,20,FALSE()))</f>
        <v/>
      </c>
      <c r="AL45" s="1" t="str">
        <f aca="false">IF($C45="","",VLOOKUP($C45,coefs!$A:$V,21,FALSE()))</f>
        <v/>
      </c>
      <c r="AM45" s="1" t="str">
        <f aca="false">IF($C45="","",VLOOKUP($C45,coefs!$A:$V,22,FALSE()))</f>
        <v/>
      </c>
    </row>
    <row r="46" customFormat="false" ht="15" hidden="false" customHeight="true" outlineLevel="0" collapsed="false">
      <c r="A46" s="14"/>
      <c r="B46" s="14"/>
      <c r="C46" s="14"/>
      <c r="D46" s="15"/>
      <c r="E46" s="16"/>
      <c r="F46" s="16"/>
      <c r="G46" s="16"/>
      <c r="H46" s="17"/>
      <c r="I46" s="16"/>
      <c r="J46" s="16"/>
      <c r="K46" s="17"/>
      <c r="L46" s="17"/>
      <c r="M46" s="15" t="str">
        <f aca="false">IFERROR(IF(OR($C46="",$D46=""),"",IF($C46="Pinus pinaster",S46/(1+T46*EXP(-U46*$D46)),IF($C46="Quercus pyrenaica",S46*EXP(T46*EXP(-U46*$D46)),1.3+EXP(S46*EXP(-T46*$D46^(-U46)))))),"")</f>
        <v/>
      </c>
      <c r="N46" s="15" t="str">
        <f aca="false">IFERROR(IF($C46="Pinus sylvestris",IF(OR($D46="",$E46="",$F46=""),"",1.3+EXP((V46+W46*$E46)*EXP(-(X46+Y46*$F46)*$D46^(-(Z46+AA46*$E46))))),IF($C46="Pinus nigra",IF(OR($D46="",$E46="",$F46="",$J46=""),"",1.3+EXP((V46+W46*$J46)*EXP(-(X46+Y46*$F46)*$D46^(-(Z46+AA46*$E46))))),IF($C46="Pinus pinaster",IF(OR($D46="",$E46="",$H46="",$F46=""),"",(V46+W46*$E46)/(1+(X46+Y46*$H46)*EXP(-(Z46+AA46*$F46)*$D46))),IF($C46="Quercus pyrenaica",IF(OR($D46="",$E46="",$G46="",$J46=""),"",(V46+W46*$E46)*EXP((X46+Y46*$G46)*EXP(-(Z46+AA46*$J46)*$D46))),"")))),"")</f>
        <v/>
      </c>
      <c r="O46" s="15" t="str">
        <f aca="false">IFERROR(IF($C46="Pinus sylvestris",IF(OR($D46="",$H46="",$I46="",$J46=""),"",1.3+EXP((AB46+AC46*$H46)*EXP(-(AD46+AE46*$I46)*$D46^(-(AF46+AG46*$J46))))),IF($C46="Pinus nigra",IF(OR($D46="",$H46="",$L46="",$I46=""),"",1.3+EXP((AB46+AC46*$H46)*EXP(-(AD46+AE46*$L46)*$D46^(-(AF46+AG46*$I46))))),IF($C46="Pinus pinaster",IF(OR($D46="",$I46="",$K46=""),"",(AB46+AC46*$I46)/(1+(AD46+AE46*$K46)*EXP(-(AF46+AG46*$I46)*$D46))),IF($C46="Quercus pyrenaica",IF(OR($D46="",$L46="",$J46="",$I46=""),"",(AB46+AC46*$L46)*EXP((AD46+AE46*$J46)*EXP(-(AF46+AG46*$I46)*$D46))),"")))),"")</f>
        <v/>
      </c>
      <c r="P46" s="15" t="str">
        <f aca="false">IFERROR(IF(OR($C46="",$D46="",$E46="",$G46=""),"",1.3+(AH46+AI46*$E46-AJ46*$G46)*EXP(-AK46/SQRT($D46))),"")</f>
        <v/>
      </c>
      <c r="Q46" s="15" t="str">
        <f aca="false">IFERROR(IF(OR($C46="",$D46=""),"",1.3+AL46*(LN(1+$D46))^AM46),"")</f>
        <v/>
      </c>
      <c r="S46" s="1" t="str">
        <f aca="false">IF($C46="","",VLOOKUP($C46,coefs!$A:$V,2,FALSE()))</f>
        <v/>
      </c>
      <c r="T46" s="1" t="str">
        <f aca="false">IF($C46="","",VLOOKUP($C46,coefs!$A:$V,3,FALSE()))</f>
        <v/>
      </c>
      <c r="U46" s="1" t="str">
        <f aca="false">IF($C46="","",VLOOKUP($C46,coefs!$A:$V,4,FALSE()))</f>
        <v/>
      </c>
      <c r="V46" s="1" t="str">
        <f aca="false">IF($C46="","",VLOOKUP($C46,coefs!$A:$V,5,FALSE()))</f>
        <v/>
      </c>
      <c r="W46" s="1" t="str">
        <f aca="false">IF($C46="","",VLOOKUP($C46,coefs!$A:$V,6,FALSE()))</f>
        <v/>
      </c>
      <c r="X46" s="1" t="str">
        <f aca="false">IF($C46="","",VLOOKUP($C46,coefs!$A:$V,7,FALSE()))</f>
        <v/>
      </c>
      <c r="Y46" s="1" t="str">
        <f aca="false">IF($C46="","",VLOOKUP($C46,coefs!$A:$V,8,FALSE()))</f>
        <v/>
      </c>
      <c r="Z46" s="1" t="str">
        <f aca="false">IF($C46="","",VLOOKUP($C46,coefs!$A:$V,9,FALSE()))</f>
        <v/>
      </c>
      <c r="AA46" s="1" t="str">
        <f aca="false">IF($C46="","",VLOOKUP($C46,coefs!$A:$V,10,FALSE()))</f>
        <v/>
      </c>
      <c r="AB46" s="1" t="str">
        <f aca="false">IF($C46="","",VLOOKUP($C46,coefs!$A:$V,11,FALSE()))</f>
        <v/>
      </c>
      <c r="AC46" s="1" t="str">
        <f aca="false">IF($C46="","",VLOOKUP($C46,coefs!$A:$V,12,FALSE()))</f>
        <v/>
      </c>
      <c r="AD46" s="1" t="str">
        <f aca="false">IF($C46="","",VLOOKUP($C46,coefs!$A:$V,13,FALSE()))</f>
        <v/>
      </c>
      <c r="AE46" s="1" t="str">
        <f aca="false">IF($C46="","",VLOOKUP($C46,coefs!$A:$V,14,FALSE()))</f>
        <v/>
      </c>
      <c r="AF46" s="1" t="str">
        <f aca="false">IF($C46="","",VLOOKUP($C46,coefs!$A:$V,15,FALSE()))</f>
        <v/>
      </c>
      <c r="AG46" s="1" t="str">
        <f aca="false">IF($C46="","",VLOOKUP($C46,coefs!$A:$V,16,FALSE()))</f>
        <v/>
      </c>
      <c r="AH46" s="1" t="str">
        <f aca="false">IF($C46="","",VLOOKUP($C46,coefs!$A:$V,17,FALSE()))</f>
        <v/>
      </c>
      <c r="AI46" s="1" t="str">
        <f aca="false">IF($C46="","",VLOOKUP($C46,coefs!$A:$V,18,FALSE()))</f>
        <v/>
      </c>
      <c r="AJ46" s="1" t="str">
        <f aca="false">IF($C46="","",VLOOKUP($C46,coefs!$A:$V,19,FALSE()))</f>
        <v/>
      </c>
      <c r="AK46" s="1" t="str">
        <f aca="false">IF($C46="","",VLOOKUP($C46,coefs!$A:$V,20,FALSE()))</f>
        <v/>
      </c>
      <c r="AL46" s="1" t="str">
        <f aca="false">IF($C46="","",VLOOKUP($C46,coefs!$A:$V,21,FALSE()))</f>
        <v/>
      </c>
      <c r="AM46" s="1" t="str">
        <f aca="false">IF($C46="","",VLOOKUP($C46,coefs!$A:$V,22,FALSE()))</f>
        <v/>
      </c>
    </row>
    <row r="47" customFormat="false" ht="15" hidden="false" customHeight="true" outlineLevel="0" collapsed="false">
      <c r="A47" s="14"/>
      <c r="B47" s="14"/>
      <c r="C47" s="14"/>
      <c r="D47" s="15"/>
      <c r="E47" s="16"/>
      <c r="F47" s="16"/>
      <c r="G47" s="16"/>
      <c r="H47" s="17"/>
      <c r="I47" s="16"/>
      <c r="J47" s="16"/>
      <c r="K47" s="17"/>
      <c r="L47" s="17"/>
      <c r="M47" s="15" t="str">
        <f aca="false">IFERROR(IF(OR($C47="",$D47=""),"",IF($C47="Pinus pinaster",S47/(1+T47*EXP(-U47*$D47)),IF($C47="Quercus pyrenaica",S47*EXP(T47*EXP(-U47*$D47)),1.3+EXP(S47*EXP(-T47*$D47^(-U47)))))),"")</f>
        <v/>
      </c>
      <c r="N47" s="15" t="str">
        <f aca="false">IFERROR(IF($C47="Pinus sylvestris",IF(OR($D47="",$E47="",$F47=""),"",1.3+EXP((V47+W47*$E47)*EXP(-(X47+Y47*$F47)*$D47^(-(Z47+AA47*$E47))))),IF($C47="Pinus nigra",IF(OR($D47="",$E47="",$F47="",$J47=""),"",1.3+EXP((V47+W47*$J47)*EXP(-(X47+Y47*$F47)*$D47^(-(Z47+AA47*$E47))))),IF($C47="Pinus pinaster",IF(OR($D47="",$E47="",$H47="",$F47=""),"",(V47+W47*$E47)/(1+(X47+Y47*$H47)*EXP(-(Z47+AA47*$F47)*$D47))),IF($C47="Quercus pyrenaica",IF(OR($D47="",$E47="",$G47="",$J47=""),"",(V47+W47*$E47)*EXP((X47+Y47*$G47)*EXP(-(Z47+AA47*$J47)*$D47))),"")))),"")</f>
        <v/>
      </c>
      <c r="O47" s="15" t="str">
        <f aca="false">IFERROR(IF($C47="Pinus sylvestris",IF(OR($D47="",$H47="",$I47="",$J47=""),"",1.3+EXP((AB47+AC47*$H47)*EXP(-(AD47+AE47*$I47)*$D47^(-(AF47+AG47*$J47))))),IF($C47="Pinus nigra",IF(OR($D47="",$H47="",$L47="",$I47=""),"",1.3+EXP((AB47+AC47*$H47)*EXP(-(AD47+AE47*$L47)*$D47^(-(AF47+AG47*$I47))))),IF($C47="Pinus pinaster",IF(OR($D47="",$I47="",$K47=""),"",(AB47+AC47*$I47)/(1+(AD47+AE47*$K47)*EXP(-(AF47+AG47*$I47)*$D47))),IF($C47="Quercus pyrenaica",IF(OR($D47="",$L47="",$J47="",$I47=""),"",(AB47+AC47*$L47)*EXP((AD47+AE47*$J47)*EXP(-(AF47+AG47*$I47)*$D47))),"")))),"")</f>
        <v/>
      </c>
      <c r="P47" s="15" t="str">
        <f aca="false">IFERROR(IF(OR($C47="",$D47="",$E47="",$G47=""),"",1.3+(AH47+AI47*$E47-AJ47*$G47)*EXP(-AK47/SQRT($D47))),"")</f>
        <v/>
      </c>
      <c r="Q47" s="15" t="str">
        <f aca="false">IFERROR(IF(OR($C47="",$D47=""),"",1.3+AL47*(LN(1+$D47))^AM47),"")</f>
        <v/>
      </c>
      <c r="S47" s="1" t="str">
        <f aca="false">IF($C47="","",VLOOKUP($C47,coefs!$A:$V,2,FALSE()))</f>
        <v/>
      </c>
      <c r="T47" s="1" t="str">
        <f aca="false">IF($C47="","",VLOOKUP($C47,coefs!$A:$V,3,FALSE()))</f>
        <v/>
      </c>
      <c r="U47" s="1" t="str">
        <f aca="false">IF($C47="","",VLOOKUP($C47,coefs!$A:$V,4,FALSE()))</f>
        <v/>
      </c>
      <c r="V47" s="1" t="str">
        <f aca="false">IF($C47="","",VLOOKUP($C47,coefs!$A:$V,5,FALSE()))</f>
        <v/>
      </c>
      <c r="W47" s="1" t="str">
        <f aca="false">IF($C47="","",VLOOKUP($C47,coefs!$A:$V,6,FALSE()))</f>
        <v/>
      </c>
      <c r="X47" s="1" t="str">
        <f aca="false">IF($C47="","",VLOOKUP($C47,coefs!$A:$V,7,FALSE()))</f>
        <v/>
      </c>
      <c r="Y47" s="1" t="str">
        <f aca="false">IF($C47="","",VLOOKUP($C47,coefs!$A:$V,8,FALSE()))</f>
        <v/>
      </c>
      <c r="Z47" s="1" t="str">
        <f aca="false">IF($C47="","",VLOOKUP($C47,coefs!$A:$V,9,FALSE()))</f>
        <v/>
      </c>
      <c r="AA47" s="1" t="str">
        <f aca="false">IF($C47="","",VLOOKUP($C47,coefs!$A:$V,10,FALSE()))</f>
        <v/>
      </c>
      <c r="AB47" s="1" t="str">
        <f aca="false">IF($C47="","",VLOOKUP($C47,coefs!$A:$V,11,FALSE()))</f>
        <v/>
      </c>
      <c r="AC47" s="1" t="str">
        <f aca="false">IF($C47="","",VLOOKUP($C47,coefs!$A:$V,12,FALSE()))</f>
        <v/>
      </c>
      <c r="AD47" s="1" t="str">
        <f aca="false">IF($C47="","",VLOOKUP($C47,coefs!$A:$V,13,FALSE()))</f>
        <v/>
      </c>
      <c r="AE47" s="1" t="str">
        <f aca="false">IF($C47="","",VLOOKUP($C47,coefs!$A:$V,14,FALSE()))</f>
        <v/>
      </c>
      <c r="AF47" s="1" t="str">
        <f aca="false">IF($C47="","",VLOOKUP($C47,coefs!$A:$V,15,FALSE()))</f>
        <v/>
      </c>
      <c r="AG47" s="1" t="str">
        <f aca="false">IF($C47="","",VLOOKUP($C47,coefs!$A:$V,16,FALSE()))</f>
        <v/>
      </c>
      <c r="AH47" s="1" t="str">
        <f aca="false">IF($C47="","",VLOOKUP($C47,coefs!$A:$V,17,FALSE()))</f>
        <v/>
      </c>
      <c r="AI47" s="1" t="str">
        <f aca="false">IF($C47="","",VLOOKUP($C47,coefs!$A:$V,18,FALSE()))</f>
        <v/>
      </c>
      <c r="AJ47" s="1" t="str">
        <f aca="false">IF($C47="","",VLOOKUP($C47,coefs!$A:$V,19,FALSE()))</f>
        <v/>
      </c>
      <c r="AK47" s="1" t="str">
        <f aca="false">IF($C47="","",VLOOKUP($C47,coefs!$A:$V,20,FALSE()))</f>
        <v/>
      </c>
      <c r="AL47" s="1" t="str">
        <f aca="false">IF($C47="","",VLOOKUP($C47,coefs!$A:$V,21,FALSE()))</f>
        <v/>
      </c>
      <c r="AM47" s="1" t="str">
        <f aca="false">IF($C47="","",VLOOKUP($C47,coefs!$A:$V,22,FALSE()))</f>
        <v/>
      </c>
    </row>
    <row r="48" customFormat="false" ht="15" hidden="false" customHeight="true" outlineLevel="0" collapsed="false">
      <c r="A48" s="14"/>
      <c r="B48" s="14"/>
      <c r="C48" s="14"/>
      <c r="D48" s="15"/>
      <c r="E48" s="16"/>
      <c r="F48" s="16"/>
      <c r="G48" s="16"/>
      <c r="H48" s="17"/>
      <c r="I48" s="16"/>
      <c r="J48" s="16"/>
      <c r="K48" s="17"/>
      <c r="L48" s="17"/>
      <c r="M48" s="15" t="str">
        <f aca="false">IFERROR(IF(OR($C48="",$D48=""),"",IF($C48="Pinus pinaster",S48/(1+T48*EXP(-U48*$D48)),IF($C48="Quercus pyrenaica",S48*EXP(T48*EXP(-U48*$D48)),1.3+EXP(S48*EXP(-T48*$D48^(-U48)))))),"")</f>
        <v/>
      </c>
      <c r="N48" s="15" t="str">
        <f aca="false">IFERROR(IF($C48="Pinus sylvestris",IF(OR($D48="",$E48="",$F48=""),"",1.3+EXP((V48+W48*$E48)*EXP(-(X48+Y48*$F48)*$D48^(-(Z48+AA48*$E48))))),IF($C48="Pinus nigra",IF(OR($D48="",$E48="",$F48="",$J48=""),"",1.3+EXP((V48+W48*$J48)*EXP(-(X48+Y48*$F48)*$D48^(-(Z48+AA48*$E48))))),IF($C48="Pinus pinaster",IF(OR($D48="",$E48="",$H48="",$F48=""),"",(V48+W48*$E48)/(1+(X48+Y48*$H48)*EXP(-(Z48+AA48*$F48)*$D48))),IF($C48="Quercus pyrenaica",IF(OR($D48="",$E48="",$G48="",$J48=""),"",(V48+W48*$E48)*EXP((X48+Y48*$G48)*EXP(-(Z48+AA48*$J48)*$D48))),"")))),"")</f>
        <v/>
      </c>
      <c r="O48" s="15" t="str">
        <f aca="false">IFERROR(IF($C48="Pinus sylvestris",IF(OR($D48="",$H48="",$I48="",$J48=""),"",1.3+EXP((AB48+AC48*$H48)*EXP(-(AD48+AE48*$I48)*$D48^(-(AF48+AG48*$J48))))),IF($C48="Pinus nigra",IF(OR($D48="",$H48="",$L48="",$I48=""),"",1.3+EXP((AB48+AC48*$H48)*EXP(-(AD48+AE48*$L48)*$D48^(-(AF48+AG48*$I48))))),IF($C48="Pinus pinaster",IF(OR($D48="",$I48="",$K48=""),"",(AB48+AC48*$I48)/(1+(AD48+AE48*$K48)*EXP(-(AF48+AG48*$I48)*$D48))),IF($C48="Quercus pyrenaica",IF(OR($D48="",$L48="",$J48="",$I48=""),"",(AB48+AC48*$L48)*EXP((AD48+AE48*$J48)*EXP(-(AF48+AG48*$I48)*$D48))),"")))),"")</f>
        <v/>
      </c>
      <c r="P48" s="15" t="str">
        <f aca="false">IFERROR(IF(OR($C48="",$D48="",$E48="",$G48=""),"",1.3+(AH48+AI48*$E48-AJ48*$G48)*EXP(-AK48/SQRT($D48))),"")</f>
        <v/>
      </c>
      <c r="Q48" s="15" t="str">
        <f aca="false">IFERROR(IF(OR($C48="",$D48=""),"",1.3+AL48*(LN(1+$D48))^AM48),"")</f>
        <v/>
      </c>
      <c r="S48" s="1" t="str">
        <f aca="false">IF($C48="","",VLOOKUP($C48,coefs!$A:$V,2,FALSE()))</f>
        <v/>
      </c>
      <c r="T48" s="1" t="str">
        <f aca="false">IF($C48="","",VLOOKUP($C48,coefs!$A:$V,3,FALSE()))</f>
        <v/>
      </c>
      <c r="U48" s="1" t="str">
        <f aca="false">IF($C48="","",VLOOKUP($C48,coefs!$A:$V,4,FALSE()))</f>
        <v/>
      </c>
      <c r="V48" s="1" t="str">
        <f aca="false">IF($C48="","",VLOOKUP($C48,coefs!$A:$V,5,FALSE()))</f>
        <v/>
      </c>
      <c r="W48" s="1" t="str">
        <f aca="false">IF($C48="","",VLOOKUP($C48,coefs!$A:$V,6,FALSE()))</f>
        <v/>
      </c>
      <c r="X48" s="1" t="str">
        <f aca="false">IF($C48="","",VLOOKUP($C48,coefs!$A:$V,7,FALSE()))</f>
        <v/>
      </c>
      <c r="Y48" s="1" t="str">
        <f aca="false">IF($C48="","",VLOOKUP($C48,coefs!$A:$V,8,FALSE()))</f>
        <v/>
      </c>
      <c r="Z48" s="1" t="str">
        <f aca="false">IF($C48="","",VLOOKUP($C48,coefs!$A:$V,9,FALSE()))</f>
        <v/>
      </c>
      <c r="AA48" s="1" t="str">
        <f aca="false">IF($C48="","",VLOOKUP($C48,coefs!$A:$V,10,FALSE()))</f>
        <v/>
      </c>
      <c r="AB48" s="1" t="str">
        <f aca="false">IF($C48="","",VLOOKUP($C48,coefs!$A:$V,11,FALSE()))</f>
        <v/>
      </c>
      <c r="AC48" s="1" t="str">
        <f aca="false">IF($C48="","",VLOOKUP($C48,coefs!$A:$V,12,FALSE()))</f>
        <v/>
      </c>
      <c r="AD48" s="1" t="str">
        <f aca="false">IF($C48="","",VLOOKUP($C48,coefs!$A:$V,13,FALSE()))</f>
        <v/>
      </c>
      <c r="AE48" s="1" t="str">
        <f aca="false">IF($C48="","",VLOOKUP($C48,coefs!$A:$V,14,FALSE()))</f>
        <v/>
      </c>
      <c r="AF48" s="1" t="str">
        <f aca="false">IF($C48="","",VLOOKUP($C48,coefs!$A:$V,15,FALSE()))</f>
        <v/>
      </c>
      <c r="AG48" s="1" t="str">
        <f aca="false">IF($C48="","",VLOOKUP($C48,coefs!$A:$V,16,FALSE()))</f>
        <v/>
      </c>
      <c r="AH48" s="1" t="str">
        <f aca="false">IF($C48="","",VLOOKUP($C48,coefs!$A:$V,17,FALSE()))</f>
        <v/>
      </c>
      <c r="AI48" s="1" t="str">
        <f aca="false">IF($C48="","",VLOOKUP($C48,coefs!$A:$V,18,FALSE()))</f>
        <v/>
      </c>
      <c r="AJ48" s="1" t="str">
        <f aca="false">IF($C48="","",VLOOKUP($C48,coefs!$A:$V,19,FALSE()))</f>
        <v/>
      </c>
      <c r="AK48" s="1" t="str">
        <f aca="false">IF($C48="","",VLOOKUP($C48,coefs!$A:$V,20,FALSE()))</f>
        <v/>
      </c>
      <c r="AL48" s="1" t="str">
        <f aca="false">IF($C48="","",VLOOKUP($C48,coefs!$A:$V,21,FALSE()))</f>
        <v/>
      </c>
      <c r="AM48" s="1" t="str">
        <f aca="false">IF($C48="","",VLOOKUP($C48,coefs!$A:$V,22,FALSE()))</f>
        <v/>
      </c>
    </row>
    <row r="49" customFormat="false" ht="15" hidden="false" customHeight="true" outlineLevel="0" collapsed="false">
      <c r="A49" s="14"/>
      <c r="B49" s="14"/>
      <c r="C49" s="14"/>
      <c r="D49" s="15"/>
      <c r="E49" s="16"/>
      <c r="F49" s="16"/>
      <c r="G49" s="16"/>
      <c r="H49" s="17"/>
      <c r="I49" s="16"/>
      <c r="J49" s="16"/>
      <c r="K49" s="17"/>
      <c r="L49" s="17"/>
      <c r="M49" s="15" t="str">
        <f aca="false">IFERROR(IF(OR($C49="",$D49=""),"",IF($C49="Pinus pinaster",S49/(1+T49*EXP(-U49*$D49)),IF($C49="Quercus pyrenaica",S49*EXP(T49*EXP(-U49*$D49)),1.3+EXP(S49*EXP(-T49*$D49^(-U49)))))),"")</f>
        <v/>
      </c>
      <c r="N49" s="15" t="str">
        <f aca="false">IFERROR(IF($C49="Pinus sylvestris",IF(OR($D49="",$E49="",$F49=""),"",1.3+EXP((V49+W49*$E49)*EXP(-(X49+Y49*$F49)*$D49^(-(Z49+AA49*$E49))))),IF($C49="Pinus nigra",IF(OR($D49="",$E49="",$F49="",$J49=""),"",1.3+EXP((V49+W49*$J49)*EXP(-(X49+Y49*$F49)*$D49^(-(Z49+AA49*$E49))))),IF($C49="Pinus pinaster",IF(OR($D49="",$E49="",$H49="",$F49=""),"",(V49+W49*$E49)/(1+(X49+Y49*$H49)*EXP(-(Z49+AA49*$F49)*$D49))),IF($C49="Quercus pyrenaica",IF(OR($D49="",$E49="",$G49="",$J49=""),"",(V49+W49*$E49)*EXP((X49+Y49*$G49)*EXP(-(Z49+AA49*$J49)*$D49))),"")))),"")</f>
        <v/>
      </c>
      <c r="O49" s="15" t="str">
        <f aca="false">IFERROR(IF($C49="Pinus sylvestris",IF(OR($D49="",$H49="",$I49="",$J49=""),"",1.3+EXP((AB49+AC49*$H49)*EXP(-(AD49+AE49*$I49)*$D49^(-(AF49+AG49*$J49))))),IF($C49="Pinus nigra",IF(OR($D49="",$H49="",$L49="",$I49=""),"",1.3+EXP((AB49+AC49*$H49)*EXP(-(AD49+AE49*$L49)*$D49^(-(AF49+AG49*$I49))))),IF($C49="Pinus pinaster",IF(OR($D49="",$I49="",$K49=""),"",(AB49+AC49*$I49)/(1+(AD49+AE49*$K49)*EXP(-(AF49+AG49*$I49)*$D49))),IF($C49="Quercus pyrenaica",IF(OR($D49="",$L49="",$J49="",$I49=""),"",(AB49+AC49*$L49)*EXP((AD49+AE49*$J49)*EXP(-(AF49+AG49*$I49)*$D49))),"")))),"")</f>
        <v/>
      </c>
      <c r="P49" s="15" t="str">
        <f aca="false">IFERROR(IF(OR($C49="",$D49="",$E49="",$G49=""),"",1.3+(AH49+AI49*$E49-AJ49*$G49)*EXP(-AK49/SQRT($D49))),"")</f>
        <v/>
      </c>
      <c r="Q49" s="15" t="str">
        <f aca="false">IFERROR(IF(OR($C49="",$D49=""),"",1.3+AL49*(LN(1+$D49))^AM49),"")</f>
        <v/>
      </c>
      <c r="S49" s="1" t="str">
        <f aca="false">IF($C49="","",VLOOKUP($C49,coefs!$A:$V,2,FALSE()))</f>
        <v/>
      </c>
      <c r="T49" s="1" t="str">
        <f aca="false">IF($C49="","",VLOOKUP($C49,coefs!$A:$V,3,FALSE()))</f>
        <v/>
      </c>
      <c r="U49" s="1" t="str">
        <f aca="false">IF($C49="","",VLOOKUP($C49,coefs!$A:$V,4,FALSE()))</f>
        <v/>
      </c>
      <c r="V49" s="1" t="str">
        <f aca="false">IF($C49="","",VLOOKUP($C49,coefs!$A:$V,5,FALSE()))</f>
        <v/>
      </c>
      <c r="W49" s="1" t="str">
        <f aca="false">IF($C49="","",VLOOKUP($C49,coefs!$A:$V,6,FALSE()))</f>
        <v/>
      </c>
      <c r="X49" s="1" t="str">
        <f aca="false">IF($C49="","",VLOOKUP($C49,coefs!$A:$V,7,FALSE()))</f>
        <v/>
      </c>
      <c r="Y49" s="1" t="str">
        <f aca="false">IF($C49="","",VLOOKUP($C49,coefs!$A:$V,8,FALSE()))</f>
        <v/>
      </c>
      <c r="Z49" s="1" t="str">
        <f aca="false">IF($C49="","",VLOOKUP($C49,coefs!$A:$V,9,FALSE()))</f>
        <v/>
      </c>
      <c r="AA49" s="1" t="str">
        <f aca="false">IF($C49="","",VLOOKUP($C49,coefs!$A:$V,10,FALSE()))</f>
        <v/>
      </c>
      <c r="AB49" s="1" t="str">
        <f aca="false">IF($C49="","",VLOOKUP($C49,coefs!$A:$V,11,FALSE()))</f>
        <v/>
      </c>
      <c r="AC49" s="1" t="str">
        <f aca="false">IF($C49="","",VLOOKUP($C49,coefs!$A:$V,12,FALSE()))</f>
        <v/>
      </c>
      <c r="AD49" s="1" t="str">
        <f aca="false">IF($C49="","",VLOOKUP($C49,coefs!$A:$V,13,FALSE()))</f>
        <v/>
      </c>
      <c r="AE49" s="1" t="str">
        <f aca="false">IF($C49="","",VLOOKUP($C49,coefs!$A:$V,14,FALSE()))</f>
        <v/>
      </c>
      <c r="AF49" s="1" t="str">
        <f aca="false">IF($C49="","",VLOOKUP($C49,coefs!$A:$V,15,FALSE()))</f>
        <v/>
      </c>
      <c r="AG49" s="1" t="str">
        <f aca="false">IF($C49="","",VLOOKUP($C49,coefs!$A:$V,16,FALSE()))</f>
        <v/>
      </c>
      <c r="AH49" s="1" t="str">
        <f aca="false">IF($C49="","",VLOOKUP($C49,coefs!$A:$V,17,FALSE()))</f>
        <v/>
      </c>
      <c r="AI49" s="1" t="str">
        <f aca="false">IF($C49="","",VLOOKUP($C49,coefs!$A:$V,18,FALSE()))</f>
        <v/>
      </c>
      <c r="AJ49" s="1" t="str">
        <f aca="false">IF($C49="","",VLOOKUP($C49,coefs!$A:$V,19,FALSE()))</f>
        <v/>
      </c>
      <c r="AK49" s="1" t="str">
        <f aca="false">IF($C49="","",VLOOKUP($C49,coefs!$A:$V,20,FALSE()))</f>
        <v/>
      </c>
      <c r="AL49" s="1" t="str">
        <f aca="false">IF($C49="","",VLOOKUP($C49,coefs!$A:$V,21,FALSE()))</f>
        <v/>
      </c>
      <c r="AM49" s="1" t="str">
        <f aca="false">IF($C49="","",VLOOKUP($C49,coefs!$A:$V,22,FALSE()))</f>
        <v/>
      </c>
    </row>
    <row r="50" customFormat="false" ht="15" hidden="false" customHeight="true" outlineLevel="0" collapsed="false">
      <c r="A50" s="14"/>
      <c r="B50" s="14"/>
      <c r="C50" s="14"/>
      <c r="D50" s="15"/>
      <c r="E50" s="16"/>
      <c r="F50" s="16"/>
      <c r="G50" s="16"/>
      <c r="H50" s="17"/>
      <c r="I50" s="16"/>
      <c r="J50" s="16"/>
      <c r="K50" s="17"/>
      <c r="L50" s="17"/>
      <c r="M50" s="15" t="str">
        <f aca="false">IFERROR(IF(OR($C50="",$D50=""),"",IF($C50="Pinus pinaster",S50/(1+T50*EXP(-U50*$D50)),IF($C50="Quercus pyrenaica",S50*EXP(T50*EXP(-U50*$D50)),1.3+EXP(S50*EXP(-T50*$D50^(-U50)))))),"")</f>
        <v/>
      </c>
      <c r="N50" s="15" t="str">
        <f aca="false">IFERROR(IF($C50="Pinus sylvestris",IF(OR($D50="",$E50="",$F50=""),"",1.3+EXP((V50+W50*$E50)*EXP(-(X50+Y50*$F50)*$D50^(-(Z50+AA50*$E50))))),IF($C50="Pinus nigra",IF(OR($D50="",$E50="",$F50="",$J50=""),"",1.3+EXP((V50+W50*$J50)*EXP(-(X50+Y50*$F50)*$D50^(-(Z50+AA50*$E50))))),IF($C50="Pinus pinaster",IF(OR($D50="",$E50="",$H50="",$F50=""),"",(V50+W50*$E50)/(1+(X50+Y50*$H50)*EXP(-(Z50+AA50*$F50)*$D50))),IF($C50="Quercus pyrenaica",IF(OR($D50="",$E50="",$G50="",$J50=""),"",(V50+W50*$E50)*EXP((X50+Y50*$G50)*EXP(-(Z50+AA50*$J50)*$D50))),"")))),"")</f>
        <v/>
      </c>
      <c r="O50" s="15" t="str">
        <f aca="false">IFERROR(IF($C50="Pinus sylvestris",IF(OR($D50="",$H50="",$I50="",$J50=""),"",1.3+EXP((AB50+AC50*$H50)*EXP(-(AD50+AE50*$I50)*$D50^(-(AF50+AG50*$J50))))),IF($C50="Pinus nigra",IF(OR($D50="",$H50="",$L50="",$I50=""),"",1.3+EXP((AB50+AC50*$H50)*EXP(-(AD50+AE50*$L50)*$D50^(-(AF50+AG50*$I50))))),IF($C50="Pinus pinaster",IF(OR($D50="",$I50="",$K50=""),"",(AB50+AC50*$I50)/(1+(AD50+AE50*$K50)*EXP(-(AF50+AG50*$I50)*$D50))),IF($C50="Quercus pyrenaica",IF(OR($D50="",$L50="",$J50="",$I50=""),"",(AB50+AC50*$L50)*EXP((AD50+AE50*$J50)*EXP(-(AF50+AG50*$I50)*$D50))),"")))),"")</f>
        <v/>
      </c>
      <c r="P50" s="15" t="str">
        <f aca="false">IFERROR(IF(OR($C50="",$D50="",$E50="",$G50=""),"",1.3+(AH50+AI50*$E50-AJ50*$G50)*EXP(-AK50/SQRT($D50))),"")</f>
        <v/>
      </c>
      <c r="Q50" s="15" t="str">
        <f aca="false">IFERROR(IF(OR($C50="",$D50=""),"",1.3+AL50*(LN(1+$D50))^AM50),"")</f>
        <v/>
      </c>
      <c r="S50" s="1" t="str">
        <f aca="false">IF($C50="","",VLOOKUP($C50,coefs!$A:$V,2,FALSE()))</f>
        <v/>
      </c>
      <c r="T50" s="1" t="str">
        <f aca="false">IF($C50="","",VLOOKUP($C50,coefs!$A:$V,3,FALSE()))</f>
        <v/>
      </c>
      <c r="U50" s="1" t="str">
        <f aca="false">IF($C50="","",VLOOKUP($C50,coefs!$A:$V,4,FALSE()))</f>
        <v/>
      </c>
      <c r="V50" s="1" t="str">
        <f aca="false">IF($C50="","",VLOOKUP($C50,coefs!$A:$V,5,FALSE()))</f>
        <v/>
      </c>
      <c r="W50" s="1" t="str">
        <f aca="false">IF($C50="","",VLOOKUP($C50,coefs!$A:$V,6,FALSE()))</f>
        <v/>
      </c>
      <c r="X50" s="1" t="str">
        <f aca="false">IF($C50="","",VLOOKUP($C50,coefs!$A:$V,7,FALSE()))</f>
        <v/>
      </c>
      <c r="Y50" s="1" t="str">
        <f aca="false">IF($C50="","",VLOOKUP($C50,coefs!$A:$V,8,FALSE()))</f>
        <v/>
      </c>
      <c r="Z50" s="1" t="str">
        <f aca="false">IF($C50="","",VLOOKUP($C50,coefs!$A:$V,9,FALSE()))</f>
        <v/>
      </c>
      <c r="AA50" s="1" t="str">
        <f aca="false">IF($C50="","",VLOOKUP($C50,coefs!$A:$V,10,FALSE()))</f>
        <v/>
      </c>
      <c r="AB50" s="1" t="str">
        <f aca="false">IF($C50="","",VLOOKUP($C50,coefs!$A:$V,11,FALSE()))</f>
        <v/>
      </c>
      <c r="AC50" s="1" t="str">
        <f aca="false">IF($C50="","",VLOOKUP($C50,coefs!$A:$V,12,FALSE()))</f>
        <v/>
      </c>
      <c r="AD50" s="1" t="str">
        <f aca="false">IF($C50="","",VLOOKUP($C50,coefs!$A:$V,13,FALSE()))</f>
        <v/>
      </c>
      <c r="AE50" s="1" t="str">
        <f aca="false">IF($C50="","",VLOOKUP($C50,coefs!$A:$V,14,FALSE()))</f>
        <v/>
      </c>
      <c r="AF50" s="1" t="str">
        <f aca="false">IF($C50="","",VLOOKUP($C50,coefs!$A:$V,15,FALSE()))</f>
        <v/>
      </c>
      <c r="AG50" s="1" t="str">
        <f aca="false">IF($C50="","",VLOOKUP($C50,coefs!$A:$V,16,FALSE()))</f>
        <v/>
      </c>
      <c r="AH50" s="1" t="str">
        <f aca="false">IF($C50="","",VLOOKUP($C50,coefs!$A:$V,17,FALSE()))</f>
        <v/>
      </c>
      <c r="AI50" s="1" t="str">
        <f aca="false">IF($C50="","",VLOOKUP($C50,coefs!$A:$V,18,FALSE()))</f>
        <v/>
      </c>
      <c r="AJ50" s="1" t="str">
        <f aca="false">IF($C50="","",VLOOKUP($C50,coefs!$A:$V,19,FALSE()))</f>
        <v/>
      </c>
      <c r="AK50" s="1" t="str">
        <f aca="false">IF($C50="","",VLOOKUP($C50,coefs!$A:$V,20,FALSE()))</f>
        <v/>
      </c>
      <c r="AL50" s="1" t="str">
        <f aca="false">IF($C50="","",VLOOKUP($C50,coefs!$A:$V,21,FALSE()))</f>
        <v/>
      </c>
      <c r="AM50" s="1" t="str">
        <f aca="false">IF($C50="","",VLOOKUP($C50,coefs!$A:$V,22,FALSE()))</f>
        <v/>
      </c>
    </row>
    <row r="51" customFormat="false" ht="15" hidden="false" customHeight="true" outlineLevel="0" collapsed="false">
      <c r="A51" s="14"/>
      <c r="B51" s="14"/>
      <c r="C51" s="14"/>
      <c r="D51" s="15"/>
      <c r="E51" s="16"/>
      <c r="F51" s="16"/>
      <c r="G51" s="16"/>
      <c r="H51" s="17"/>
      <c r="I51" s="16"/>
      <c r="J51" s="16"/>
      <c r="K51" s="17"/>
      <c r="L51" s="17"/>
      <c r="M51" s="15" t="str">
        <f aca="false">IFERROR(IF(OR($C51="",$D51=""),"",IF($C51="Pinus pinaster",S51/(1+T51*EXP(-U51*$D51)),IF($C51="Quercus pyrenaica",S51*EXP(T51*EXP(-U51*$D51)),1.3+EXP(S51*EXP(-T51*$D51^(-U51)))))),"")</f>
        <v/>
      </c>
      <c r="N51" s="15" t="str">
        <f aca="false">IFERROR(IF($C51="Pinus sylvestris",IF(OR($D51="",$E51="",$F51=""),"",1.3+EXP((V51+W51*$E51)*EXP(-(X51+Y51*$F51)*$D51^(-(Z51+AA51*$E51))))),IF($C51="Pinus nigra",IF(OR($D51="",$E51="",$F51="",$J51=""),"",1.3+EXP((V51+W51*$J51)*EXP(-(X51+Y51*$F51)*$D51^(-(Z51+AA51*$E51))))),IF($C51="Pinus pinaster",IF(OR($D51="",$E51="",$H51="",$F51=""),"",(V51+W51*$E51)/(1+(X51+Y51*$H51)*EXP(-(Z51+AA51*$F51)*$D51))),IF($C51="Quercus pyrenaica",IF(OR($D51="",$E51="",$G51="",$J51=""),"",(V51+W51*$E51)*EXP((X51+Y51*$G51)*EXP(-(Z51+AA51*$J51)*$D51))),"")))),"")</f>
        <v/>
      </c>
      <c r="O51" s="15" t="str">
        <f aca="false">IFERROR(IF($C51="Pinus sylvestris",IF(OR($D51="",$H51="",$I51="",$J51=""),"",1.3+EXP((AB51+AC51*$H51)*EXP(-(AD51+AE51*$I51)*$D51^(-(AF51+AG51*$J51))))),IF($C51="Pinus nigra",IF(OR($D51="",$H51="",$L51="",$I51=""),"",1.3+EXP((AB51+AC51*$H51)*EXP(-(AD51+AE51*$L51)*$D51^(-(AF51+AG51*$I51))))),IF($C51="Pinus pinaster",IF(OR($D51="",$I51="",$K51=""),"",(AB51+AC51*$I51)/(1+(AD51+AE51*$K51)*EXP(-(AF51+AG51*$I51)*$D51))),IF($C51="Quercus pyrenaica",IF(OR($D51="",$L51="",$J51="",$I51=""),"",(AB51+AC51*$L51)*EXP((AD51+AE51*$J51)*EXP(-(AF51+AG51*$I51)*$D51))),"")))),"")</f>
        <v/>
      </c>
      <c r="P51" s="15" t="str">
        <f aca="false">IFERROR(IF(OR($C51="",$D51="",$E51="",$G51=""),"",1.3+(AH51+AI51*$E51-AJ51*$G51)*EXP(-AK51/SQRT($D51))),"")</f>
        <v/>
      </c>
      <c r="Q51" s="15" t="str">
        <f aca="false">IFERROR(IF(OR($C51="",$D51=""),"",1.3+AL51*(LN(1+$D51))^AM51),"")</f>
        <v/>
      </c>
      <c r="S51" s="1" t="str">
        <f aca="false">IF($C51="","",VLOOKUP($C51,coefs!$A:$V,2,FALSE()))</f>
        <v/>
      </c>
      <c r="T51" s="1" t="str">
        <f aca="false">IF($C51="","",VLOOKUP($C51,coefs!$A:$V,3,FALSE()))</f>
        <v/>
      </c>
      <c r="U51" s="1" t="str">
        <f aca="false">IF($C51="","",VLOOKUP($C51,coefs!$A:$V,4,FALSE()))</f>
        <v/>
      </c>
      <c r="V51" s="1" t="str">
        <f aca="false">IF($C51="","",VLOOKUP($C51,coefs!$A:$V,5,FALSE()))</f>
        <v/>
      </c>
      <c r="W51" s="1" t="str">
        <f aca="false">IF($C51="","",VLOOKUP($C51,coefs!$A:$V,6,FALSE()))</f>
        <v/>
      </c>
      <c r="X51" s="1" t="str">
        <f aca="false">IF($C51="","",VLOOKUP($C51,coefs!$A:$V,7,FALSE()))</f>
        <v/>
      </c>
      <c r="Y51" s="1" t="str">
        <f aca="false">IF($C51="","",VLOOKUP($C51,coefs!$A:$V,8,FALSE()))</f>
        <v/>
      </c>
      <c r="Z51" s="1" t="str">
        <f aca="false">IF($C51="","",VLOOKUP($C51,coefs!$A:$V,9,FALSE()))</f>
        <v/>
      </c>
      <c r="AA51" s="1" t="str">
        <f aca="false">IF($C51="","",VLOOKUP($C51,coefs!$A:$V,10,FALSE()))</f>
        <v/>
      </c>
      <c r="AB51" s="1" t="str">
        <f aca="false">IF($C51="","",VLOOKUP($C51,coefs!$A:$V,11,FALSE()))</f>
        <v/>
      </c>
      <c r="AC51" s="1" t="str">
        <f aca="false">IF($C51="","",VLOOKUP($C51,coefs!$A:$V,12,FALSE()))</f>
        <v/>
      </c>
      <c r="AD51" s="1" t="str">
        <f aca="false">IF($C51="","",VLOOKUP($C51,coefs!$A:$V,13,FALSE()))</f>
        <v/>
      </c>
      <c r="AE51" s="1" t="str">
        <f aca="false">IF($C51="","",VLOOKUP($C51,coefs!$A:$V,14,FALSE()))</f>
        <v/>
      </c>
      <c r="AF51" s="1" t="str">
        <f aca="false">IF($C51="","",VLOOKUP($C51,coefs!$A:$V,15,FALSE()))</f>
        <v/>
      </c>
      <c r="AG51" s="1" t="str">
        <f aca="false">IF($C51="","",VLOOKUP($C51,coefs!$A:$V,16,FALSE()))</f>
        <v/>
      </c>
      <c r="AH51" s="1" t="str">
        <f aca="false">IF($C51="","",VLOOKUP($C51,coefs!$A:$V,17,FALSE()))</f>
        <v/>
      </c>
      <c r="AI51" s="1" t="str">
        <f aca="false">IF($C51="","",VLOOKUP($C51,coefs!$A:$V,18,FALSE()))</f>
        <v/>
      </c>
      <c r="AJ51" s="1" t="str">
        <f aca="false">IF($C51="","",VLOOKUP($C51,coefs!$A:$V,19,FALSE()))</f>
        <v/>
      </c>
      <c r="AK51" s="1" t="str">
        <f aca="false">IF($C51="","",VLOOKUP($C51,coefs!$A:$V,20,FALSE()))</f>
        <v/>
      </c>
      <c r="AL51" s="1" t="str">
        <f aca="false">IF($C51="","",VLOOKUP($C51,coefs!$A:$V,21,FALSE()))</f>
        <v/>
      </c>
      <c r="AM51" s="1" t="str">
        <f aca="false">IF($C51="","",VLOOKUP($C51,coefs!$A:$V,22,FALSE()))</f>
        <v/>
      </c>
    </row>
    <row r="52" customFormat="false" ht="15" hidden="false" customHeight="true" outlineLevel="0" collapsed="false">
      <c r="A52" s="14"/>
      <c r="B52" s="14"/>
      <c r="C52" s="14"/>
      <c r="D52" s="15"/>
      <c r="E52" s="16"/>
      <c r="F52" s="16"/>
      <c r="G52" s="16"/>
      <c r="H52" s="17"/>
      <c r="I52" s="16"/>
      <c r="J52" s="16"/>
      <c r="K52" s="17"/>
      <c r="L52" s="17"/>
      <c r="M52" s="15" t="str">
        <f aca="false">IFERROR(IF(OR($C52="",$D52=""),"",IF($C52="Pinus pinaster",S52/(1+T52*EXP(-U52*$D52)),IF($C52="Quercus pyrenaica",S52*EXP(T52*EXP(-U52*$D52)),1.3+EXP(S52*EXP(-T52*$D52^(-U52)))))),"")</f>
        <v/>
      </c>
      <c r="N52" s="15" t="str">
        <f aca="false">IFERROR(IF($C52="Pinus sylvestris",IF(OR($D52="",$E52="",$F52=""),"",1.3+EXP((V52+W52*$E52)*EXP(-(X52+Y52*$F52)*$D52^(-(Z52+AA52*$E52))))),IF($C52="Pinus nigra",IF(OR($D52="",$E52="",$F52="",$J52=""),"",1.3+EXP((V52+W52*$J52)*EXP(-(X52+Y52*$F52)*$D52^(-(Z52+AA52*$E52))))),IF($C52="Pinus pinaster",IF(OR($D52="",$E52="",$H52="",$F52=""),"",(V52+W52*$E52)/(1+(X52+Y52*$H52)*EXP(-(Z52+AA52*$F52)*$D52))),IF($C52="Quercus pyrenaica",IF(OR($D52="",$E52="",$G52="",$J52=""),"",(V52+W52*$E52)*EXP((X52+Y52*$G52)*EXP(-(Z52+AA52*$J52)*$D52))),"")))),"")</f>
        <v/>
      </c>
      <c r="O52" s="15" t="str">
        <f aca="false">IFERROR(IF($C52="Pinus sylvestris",IF(OR($D52="",$H52="",$I52="",$J52=""),"",1.3+EXP((AB52+AC52*$H52)*EXP(-(AD52+AE52*$I52)*$D52^(-(AF52+AG52*$J52))))),IF($C52="Pinus nigra",IF(OR($D52="",$H52="",$L52="",$I52=""),"",1.3+EXP((AB52+AC52*$H52)*EXP(-(AD52+AE52*$L52)*$D52^(-(AF52+AG52*$I52))))),IF($C52="Pinus pinaster",IF(OR($D52="",$I52="",$K52=""),"",(AB52+AC52*$I52)/(1+(AD52+AE52*$K52)*EXP(-(AF52+AG52*$I52)*$D52))),IF($C52="Quercus pyrenaica",IF(OR($D52="",$L52="",$J52="",$I52=""),"",(AB52+AC52*$L52)*EXP((AD52+AE52*$J52)*EXP(-(AF52+AG52*$I52)*$D52))),"")))),"")</f>
        <v/>
      </c>
      <c r="P52" s="15" t="str">
        <f aca="false">IFERROR(IF(OR($C52="",$D52="",$E52="",$G52=""),"",1.3+(AH52+AI52*$E52-AJ52*$G52)*EXP(-AK52/SQRT($D52))),"")</f>
        <v/>
      </c>
      <c r="Q52" s="15" t="str">
        <f aca="false">IFERROR(IF(OR($C52="",$D52=""),"",1.3+AL52*(LN(1+$D52))^AM52),"")</f>
        <v/>
      </c>
      <c r="S52" s="1" t="str">
        <f aca="false">IF($C52="","",VLOOKUP($C52,coefs!$A:$V,2,FALSE()))</f>
        <v/>
      </c>
      <c r="T52" s="1" t="str">
        <f aca="false">IF($C52="","",VLOOKUP($C52,coefs!$A:$V,3,FALSE()))</f>
        <v/>
      </c>
      <c r="U52" s="1" t="str">
        <f aca="false">IF($C52="","",VLOOKUP($C52,coefs!$A:$V,4,FALSE()))</f>
        <v/>
      </c>
      <c r="V52" s="1" t="str">
        <f aca="false">IF($C52="","",VLOOKUP($C52,coefs!$A:$V,5,FALSE()))</f>
        <v/>
      </c>
      <c r="W52" s="1" t="str">
        <f aca="false">IF($C52="","",VLOOKUP($C52,coefs!$A:$V,6,FALSE()))</f>
        <v/>
      </c>
      <c r="X52" s="1" t="str">
        <f aca="false">IF($C52="","",VLOOKUP($C52,coefs!$A:$V,7,FALSE()))</f>
        <v/>
      </c>
      <c r="Y52" s="1" t="str">
        <f aca="false">IF($C52="","",VLOOKUP($C52,coefs!$A:$V,8,FALSE()))</f>
        <v/>
      </c>
      <c r="Z52" s="1" t="str">
        <f aca="false">IF($C52="","",VLOOKUP($C52,coefs!$A:$V,9,FALSE()))</f>
        <v/>
      </c>
      <c r="AA52" s="1" t="str">
        <f aca="false">IF($C52="","",VLOOKUP($C52,coefs!$A:$V,10,FALSE()))</f>
        <v/>
      </c>
      <c r="AB52" s="1" t="str">
        <f aca="false">IF($C52="","",VLOOKUP($C52,coefs!$A:$V,11,FALSE()))</f>
        <v/>
      </c>
      <c r="AC52" s="1" t="str">
        <f aca="false">IF($C52="","",VLOOKUP($C52,coefs!$A:$V,12,FALSE()))</f>
        <v/>
      </c>
      <c r="AD52" s="1" t="str">
        <f aca="false">IF($C52="","",VLOOKUP($C52,coefs!$A:$V,13,FALSE()))</f>
        <v/>
      </c>
      <c r="AE52" s="1" t="str">
        <f aca="false">IF($C52="","",VLOOKUP($C52,coefs!$A:$V,14,FALSE()))</f>
        <v/>
      </c>
      <c r="AF52" s="1" t="str">
        <f aca="false">IF($C52="","",VLOOKUP($C52,coefs!$A:$V,15,FALSE()))</f>
        <v/>
      </c>
      <c r="AG52" s="1" t="str">
        <f aca="false">IF($C52="","",VLOOKUP($C52,coefs!$A:$V,16,FALSE()))</f>
        <v/>
      </c>
      <c r="AH52" s="1" t="str">
        <f aca="false">IF($C52="","",VLOOKUP($C52,coefs!$A:$V,17,FALSE()))</f>
        <v/>
      </c>
      <c r="AI52" s="1" t="str">
        <f aca="false">IF($C52="","",VLOOKUP($C52,coefs!$A:$V,18,FALSE()))</f>
        <v/>
      </c>
      <c r="AJ52" s="1" t="str">
        <f aca="false">IF($C52="","",VLOOKUP($C52,coefs!$A:$V,19,FALSE()))</f>
        <v/>
      </c>
      <c r="AK52" s="1" t="str">
        <f aca="false">IF($C52="","",VLOOKUP($C52,coefs!$A:$V,20,FALSE()))</f>
        <v/>
      </c>
      <c r="AL52" s="1" t="str">
        <f aca="false">IF($C52="","",VLOOKUP($C52,coefs!$A:$V,21,FALSE()))</f>
        <v/>
      </c>
      <c r="AM52" s="1" t="str">
        <f aca="false">IF($C52="","",VLOOKUP($C52,coefs!$A:$V,22,FALSE()))</f>
        <v/>
      </c>
    </row>
    <row r="53" customFormat="false" ht="15" hidden="false" customHeight="true" outlineLevel="0" collapsed="false">
      <c r="A53" s="14"/>
      <c r="B53" s="14"/>
      <c r="C53" s="14"/>
      <c r="D53" s="15"/>
      <c r="E53" s="16"/>
      <c r="F53" s="16"/>
      <c r="G53" s="16"/>
      <c r="H53" s="17"/>
      <c r="I53" s="16"/>
      <c r="J53" s="16"/>
      <c r="K53" s="17"/>
      <c r="L53" s="17"/>
      <c r="M53" s="15" t="str">
        <f aca="false">IFERROR(IF(OR($C53="",$D53=""),"",IF($C53="Pinus pinaster",S53/(1+T53*EXP(-U53*$D53)),IF($C53="Quercus pyrenaica",S53*EXP(T53*EXP(-U53*$D53)),1.3+EXP(S53*EXP(-T53*$D53^(-U53)))))),"")</f>
        <v/>
      </c>
      <c r="N53" s="15" t="str">
        <f aca="false">IFERROR(IF($C53="Pinus sylvestris",IF(OR($D53="",$E53="",$F53=""),"",1.3+EXP((V53+W53*$E53)*EXP(-(X53+Y53*$F53)*$D53^(-(Z53+AA53*$E53))))),IF($C53="Pinus nigra",IF(OR($D53="",$E53="",$F53="",$J53=""),"",1.3+EXP((V53+W53*$J53)*EXP(-(X53+Y53*$F53)*$D53^(-(Z53+AA53*$E53))))),IF($C53="Pinus pinaster",IF(OR($D53="",$E53="",$H53="",$F53=""),"",(V53+W53*$E53)/(1+(X53+Y53*$H53)*EXP(-(Z53+AA53*$F53)*$D53))),IF($C53="Quercus pyrenaica",IF(OR($D53="",$E53="",$G53="",$J53=""),"",(V53+W53*$E53)*EXP((X53+Y53*$G53)*EXP(-(Z53+AA53*$J53)*$D53))),"")))),"")</f>
        <v/>
      </c>
      <c r="O53" s="15" t="str">
        <f aca="false">IFERROR(IF($C53="Pinus sylvestris",IF(OR($D53="",$H53="",$I53="",$J53=""),"",1.3+EXP((AB53+AC53*$H53)*EXP(-(AD53+AE53*$I53)*$D53^(-(AF53+AG53*$J53))))),IF($C53="Pinus nigra",IF(OR($D53="",$H53="",$L53="",$I53=""),"",1.3+EXP((AB53+AC53*$H53)*EXP(-(AD53+AE53*$L53)*$D53^(-(AF53+AG53*$I53))))),IF($C53="Pinus pinaster",IF(OR($D53="",$I53="",$K53=""),"",(AB53+AC53*$I53)/(1+(AD53+AE53*$K53)*EXP(-(AF53+AG53*$I53)*$D53))),IF($C53="Quercus pyrenaica",IF(OR($D53="",$L53="",$J53="",$I53=""),"",(AB53+AC53*$L53)*EXP((AD53+AE53*$J53)*EXP(-(AF53+AG53*$I53)*$D53))),"")))),"")</f>
        <v/>
      </c>
      <c r="P53" s="15" t="str">
        <f aca="false">IFERROR(IF(OR($C53="",$D53="",$E53="",$G53=""),"",1.3+(AH53+AI53*$E53-AJ53*$G53)*EXP(-AK53/SQRT($D53))),"")</f>
        <v/>
      </c>
      <c r="Q53" s="15" t="str">
        <f aca="false">IFERROR(IF(OR($C53="",$D53=""),"",1.3+AL53*(LN(1+$D53))^AM53),"")</f>
        <v/>
      </c>
      <c r="S53" s="1" t="str">
        <f aca="false">IF($C53="","",VLOOKUP($C53,coefs!$A:$V,2,FALSE()))</f>
        <v/>
      </c>
      <c r="T53" s="1" t="str">
        <f aca="false">IF($C53="","",VLOOKUP($C53,coefs!$A:$V,3,FALSE()))</f>
        <v/>
      </c>
      <c r="U53" s="1" t="str">
        <f aca="false">IF($C53="","",VLOOKUP($C53,coefs!$A:$V,4,FALSE()))</f>
        <v/>
      </c>
      <c r="V53" s="1" t="str">
        <f aca="false">IF($C53="","",VLOOKUP($C53,coefs!$A:$V,5,FALSE()))</f>
        <v/>
      </c>
      <c r="W53" s="1" t="str">
        <f aca="false">IF($C53="","",VLOOKUP($C53,coefs!$A:$V,6,FALSE()))</f>
        <v/>
      </c>
      <c r="X53" s="1" t="str">
        <f aca="false">IF($C53="","",VLOOKUP($C53,coefs!$A:$V,7,FALSE()))</f>
        <v/>
      </c>
      <c r="Y53" s="1" t="str">
        <f aca="false">IF($C53="","",VLOOKUP($C53,coefs!$A:$V,8,FALSE()))</f>
        <v/>
      </c>
      <c r="Z53" s="1" t="str">
        <f aca="false">IF($C53="","",VLOOKUP($C53,coefs!$A:$V,9,FALSE()))</f>
        <v/>
      </c>
      <c r="AA53" s="1" t="str">
        <f aca="false">IF($C53="","",VLOOKUP($C53,coefs!$A:$V,10,FALSE()))</f>
        <v/>
      </c>
      <c r="AB53" s="1" t="str">
        <f aca="false">IF($C53="","",VLOOKUP($C53,coefs!$A:$V,11,FALSE()))</f>
        <v/>
      </c>
      <c r="AC53" s="1" t="str">
        <f aca="false">IF($C53="","",VLOOKUP($C53,coefs!$A:$V,12,FALSE()))</f>
        <v/>
      </c>
      <c r="AD53" s="1" t="str">
        <f aca="false">IF($C53="","",VLOOKUP($C53,coefs!$A:$V,13,FALSE()))</f>
        <v/>
      </c>
      <c r="AE53" s="1" t="str">
        <f aca="false">IF($C53="","",VLOOKUP($C53,coefs!$A:$V,14,FALSE()))</f>
        <v/>
      </c>
      <c r="AF53" s="1" t="str">
        <f aca="false">IF($C53="","",VLOOKUP($C53,coefs!$A:$V,15,FALSE()))</f>
        <v/>
      </c>
      <c r="AG53" s="1" t="str">
        <f aca="false">IF($C53="","",VLOOKUP($C53,coefs!$A:$V,16,FALSE()))</f>
        <v/>
      </c>
      <c r="AH53" s="1" t="str">
        <f aca="false">IF($C53="","",VLOOKUP($C53,coefs!$A:$V,17,FALSE()))</f>
        <v/>
      </c>
      <c r="AI53" s="1" t="str">
        <f aca="false">IF($C53="","",VLOOKUP($C53,coefs!$A:$V,18,FALSE()))</f>
        <v/>
      </c>
      <c r="AJ53" s="1" t="str">
        <f aca="false">IF($C53="","",VLOOKUP($C53,coefs!$A:$V,19,FALSE()))</f>
        <v/>
      </c>
      <c r="AK53" s="1" t="str">
        <f aca="false">IF($C53="","",VLOOKUP($C53,coefs!$A:$V,20,FALSE()))</f>
        <v/>
      </c>
      <c r="AL53" s="1" t="str">
        <f aca="false">IF($C53="","",VLOOKUP($C53,coefs!$A:$V,21,FALSE()))</f>
        <v/>
      </c>
      <c r="AM53" s="1" t="str">
        <f aca="false">IF($C53="","",VLOOKUP($C53,coefs!$A:$V,22,FALSE()))</f>
        <v/>
      </c>
    </row>
    <row r="54" customFormat="false" ht="15" hidden="false" customHeight="true" outlineLevel="0" collapsed="false">
      <c r="A54" s="14"/>
      <c r="B54" s="14"/>
      <c r="C54" s="14"/>
      <c r="D54" s="15"/>
      <c r="E54" s="16"/>
      <c r="F54" s="16"/>
      <c r="G54" s="16"/>
      <c r="H54" s="17"/>
      <c r="I54" s="16"/>
      <c r="J54" s="16"/>
      <c r="K54" s="17"/>
      <c r="L54" s="17"/>
      <c r="M54" s="15" t="str">
        <f aca="false">IFERROR(IF(OR($C54="",$D54=""),"",IF($C54="Pinus pinaster",S54/(1+T54*EXP(-U54*$D54)),IF($C54="Quercus pyrenaica",S54*EXP(T54*EXP(-U54*$D54)),1.3+EXP(S54*EXP(-T54*$D54^(-U54)))))),"")</f>
        <v/>
      </c>
      <c r="N54" s="15" t="str">
        <f aca="false">IFERROR(IF($C54="Pinus sylvestris",IF(OR($D54="",$E54="",$F54=""),"",1.3+EXP((V54+W54*$E54)*EXP(-(X54+Y54*$F54)*$D54^(-(Z54+AA54*$E54))))),IF($C54="Pinus nigra",IF(OR($D54="",$E54="",$F54="",$J54=""),"",1.3+EXP((V54+W54*$J54)*EXP(-(X54+Y54*$F54)*$D54^(-(Z54+AA54*$E54))))),IF($C54="Pinus pinaster",IF(OR($D54="",$E54="",$H54="",$F54=""),"",(V54+W54*$E54)/(1+(X54+Y54*$H54)*EXP(-(Z54+AA54*$F54)*$D54))),IF($C54="Quercus pyrenaica",IF(OR($D54="",$E54="",$G54="",$J54=""),"",(V54+W54*$E54)*EXP((X54+Y54*$G54)*EXP(-(Z54+AA54*$J54)*$D54))),"")))),"")</f>
        <v/>
      </c>
      <c r="O54" s="15" t="str">
        <f aca="false">IFERROR(IF($C54="Pinus sylvestris",IF(OR($D54="",$H54="",$I54="",$J54=""),"",1.3+EXP((AB54+AC54*$H54)*EXP(-(AD54+AE54*$I54)*$D54^(-(AF54+AG54*$J54))))),IF($C54="Pinus nigra",IF(OR($D54="",$H54="",$L54="",$I54=""),"",1.3+EXP((AB54+AC54*$H54)*EXP(-(AD54+AE54*$L54)*$D54^(-(AF54+AG54*$I54))))),IF($C54="Pinus pinaster",IF(OR($D54="",$I54="",$K54=""),"",(AB54+AC54*$I54)/(1+(AD54+AE54*$K54)*EXP(-(AF54+AG54*$I54)*$D54))),IF($C54="Quercus pyrenaica",IF(OR($D54="",$L54="",$J54="",$I54=""),"",(AB54+AC54*$L54)*EXP((AD54+AE54*$J54)*EXP(-(AF54+AG54*$I54)*$D54))),"")))),"")</f>
        <v/>
      </c>
      <c r="P54" s="15" t="str">
        <f aca="false">IFERROR(IF(OR($C54="",$D54="",$E54="",$G54=""),"",1.3+(AH54+AI54*$E54-AJ54*$G54)*EXP(-AK54/SQRT($D54))),"")</f>
        <v/>
      </c>
      <c r="Q54" s="15" t="str">
        <f aca="false">IFERROR(IF(OR($C54="",$D54=""),"",1.3+AL54*(LN(1+$D54))^AM54),"")</f>
        <v/>
      </c>
      <c r="S54" s="1" t="str">
        <f aca="false">IF($C54="","",VLOOKUP($C54,coefs!$A:$V,2,FALSE()))</f>
        <v/>
      </c>
      <c r="T54" s="1" t="str">
        <f aca="false">IF($C54="","",VLOOKUP($C54,coefs!$A:$V,3,FALSE()))</f>
        <v/>
      </c>
      <c r="U54" s="1" t="str">
        <f aca="false">IF($C54="","",VLOOKUP($C54,coefs!$A:$V,4,FALSE()))</f>
        <v/>
      </c>
      <c r="V54" s="1" t="str">
        <f aca="false">IF($C54="","",VLOOKUP($C54,coefs!$A:$V,5,FALSE()))</f>
        <v/>
      </c>
      <c r="W54" s="1" t="str">
        <f aca="false">IF($C54="","",VLOOKUP($C54,coefs!$A:$V,6,FALSE()))</f>
        <v/>
      </c>
      <c r="X54" s="1" t="str">
        <f aca="false">IF($C54="","",VLOOKUP($C54,coefs!$A:$V,7,FALSE()))</f>
        <v/>
      </c>
      <c r="Y54" s="1" t="str">
        <f aca="false">IF($C54="","",VLOOKUP($C54,coefs!$A:$V,8,FALSE()))</f>
        <v/>
      </c>
      <c r="Z54" s="1" t="str">
        <f aca="false">IF($C54="","",VLOOKUP($C54,coefs!$A:$V,9,FALSE()))</f>
        <v/>
      </c>
      <c r="AA54" s="1" t="str">
        <f aca="false">IF($C54="","",VLOOKUP($C54,coefs!$A:$V,10,FALSE()))</f>
        <v/>
      </c>
      <c r="AB54" s="1" t="str">
        <f aca="false">IF($C54="","",VLOOKUP($C54,coefs!$A:$V,11,FALSE()))</f>
        <v/>
      </c>
      <c r="AC54" s="1" t="str">
        <f aca="false">IF($C54="","",VLOOKUP($C54,coefs!$A:$V,12,FALSE()))</f>
        <v/>
      </c>
      <c r="AD54" s="1" t="str">
        <f aca="false">IF($C54="","",VLOOKUP($C54,coefs!$A:$V,13,FALSE()))</f>
        <v/>
      </c>
      <c r="AE54" s="1" t="str">
        <f aca="false">IF($C54="","",VLOOKUP($C54,coefs!$A:$V,14,FALSE()))</f>
        <v/>
      </c>
      <c r="AF54" s="1" t="str">
        <f aca="false">IF($C54="","",VLOOKUP($C54,coefs!$A:$V,15,FALSE()))</f>
        <v/>
      </c>
      <c r="AG54" s="1" t="str">
        <f aca="false">IF($C54="","",VLOOKUP($C54,coefs!$A:$V,16,FALSE()))</f>
        <v/>
      </c>
      <c r="AH54" s="1" t="str">
        <f aca="false">IF($C54="","",VLOOKUP($C54,coefs!$A:$V,17,FALSE()))</f>
        <v/>
      </c>
      <c r="AI54" s="1" t="str">
        <f aca="false">IF($C54="","",VLOOKUP($C54,coefs!$A:$V,18,FALSE()))</f>
        <v/>
      </c>
      <c r="AJ54" s="1" t="str">
        <f aca="false">IF($C54="","",VLOOKUP($C54,coefs!$A:$V,19,FALSE()))</f>
        <v/>
      </c>
      <c r="AK54" s="1" t="str">
        <f aca="false">IF($C54="","",VLOOKUP($C54,coefs!$A:$V,20,FALSE()))</f>
        <v/>
      </c>
      <c r="AL54" s="1" t="str">
        <f aca="false">IF($C54="","",VLOOKUP($C54,coefs!$A:$V,21,FALSE()))</f>
        <v/>
      </c>
      <c r="AM54" s="1" t="str">
        <f aca="false">IF($C54="","",VLOOKUP($C54,coefs!$A:$V,22,FALSE()))</f>
        <v/>
      </c>
    </row>
    <row r="55" customFormat="false" ht="15" hidden="false" customHeight="true" outlineLevel="0" collapsed="false">
      <c r="A55" s="14"/>
      <c r="B55" s="14"/>
      <c r="C55" s="14"/>
      <c r="D55" s="15"/>
      <c r="E55" s="16"/>
      <c r="F55" s="16"/>
      <c r="G55" s="16"/>
      <c r="H55" s="17"/>
      <c r="I55" s="16"/>
      <c r="J55" s="16"/>
      <c r="K55" s="17"/>
      <c r="L55" s="17"/>
      <c r="M55" s="15" t="str">
        <f aca="false">IFERROR(IF(OR($C55="",$D55=""),"",IF($C55="Pinus pinaster",S55/(1+T55*EXP(-U55*$D55)),IF($C55="Quercus pyrenaica",S55*EXP(T55*EXP(-U55*$D55)),1.3+EXP(S55*EXP(-T55*$D55^(-U55)))))),"")</f>
        <v/>
      </c>
      <c r="N55" s="15" t="str">
        <f aca="false">IFERROR(IF($C55="Pinus sylvestris",IF(OR($D55="",$E55="",$F55=""),"",1.3+EXP((V55+W55*$E55)*EXP(-(X55+Y55*$F55)*$D55^(-(Z55+AA55*$E55))))),IF($C55="Pinus nigra",IF(OR($D55="",$E55="",$F55="",$J55=""),"",1.3+EXP((V55+W55*$J55)*EXP(-(X55+Y55*$F55)*$D55^(-(Z55+AA55*$E55))))),IF($C55="Pinus pinaster",IF(OR($D55="",$E55="",$H55="",$F55=""),"",(V55+W55*$E55)/(1+(X55+Y55*$H55)*EXP(-(Z55+AA55*$F55)*$D55))),IF($C55="Quercus pyrenaica",IF(OR($D55="",$E55="",$G55="",$J55=""),"",(V55+W55*$E55)*EXP((X55+Y55*$G55)*EXP(-(Z55+AA55*$J55)*$D55))),"")))),"")</f>
        <v/>
      </c>
      <c r="O55" s="15" t="str">
        <f aca="false">IFERROR(IF($C55="Pinus sylvestris",IF(OR($D55="",$H55="",$I55="",$J55=""),"",1.3+EXP((AB55+AC55*$H55)*EXP(-(AD55+AE55*$I55)*$D55^(-(AF55+AG55*$J55))))),IF($C55="Pinus nigra",IF(OR($D55="",$H55="",$L55="",$I55=""),"",1.3+EXP((AB55+AC55*$H55)*EXP(-(AD55+AE55*$L55)*$D55^(-(AF55+AG55*$I55))))),IF($C55="Pinus pinaster",IF(OR($D55="",$I55="",$K55=""),"",(AB55+AC55*$I55)/(1+(AD55+AE55*$K55)*EXP(-(AF55+AG55*$I55)*$D55))),IF($C55="Quercus pyrenaica",IF(OR($D55="",$L55="",$J55="",$I55=""),"",(AB55+AC55*$L55)*EXP((AD55+AE55*$J55)*EXP(-(AF55+AG55*$I55)*$D55))),"")))),"")</f>
        <v/>
      </c>
      <c r="P55" s="15" t="str">
        <f aca="false">IFERROR(IF(OR($C55="",$D55="",$E55="",$G55=""),"",1.3+(AH55+AI55*$E55-AJ55*$G55)*EXP(-AK55/SQRT($D55))),"")</f>
        <v/>
      </c>
      <c r="Q55" s="15" t="str">
        <f aca="false">IFERROR(IF(OR($C55="",$D55=""),"",1.3+AL55*(LN(1+$D55))^AM55),"")</f>
        <v/>
      </c>
      <c r="S55" s="1" t="str">
        <f aca="false">IF($C55="","",VLOOKUP($C55,coefs!$A:$V,2,FALSE()))</f>
        <v/>
      </c>
      <c r="T55" s="1" t="str">
        <f aca="false">IF($C55="","",VLOOKUP($C55,coefs!$A:$V,3,FALSE()))</f>
        <v/>
      </c>
      <c r="U55" s="1" t="str">
        <f aca="false">IF($C55="","",VLOOKUP($C55,coefs!$A:$V,4,FALSE()))</f>
        <v/>
      </c>
      <c r="V55" s="1" t="str">
        <f aca="false">IF($C55="","",VLOOKUP($C55,coefs!$A:$V,5,FALSE()))</f>
        <v/>
      </c>
      <c r="W55" s="1" t="str">
        <f aca="false">IF($C55="","",VLOOKUP($C55,coefs!$A:$V,6,FALSE()))</f>
        <v/>
      </c>
      <c r="X55" s="1" t="str">
        <f aca="false">IF($C55="","",VLOOKUP($C55,coefs!$A:$V,7,FALSE()))</f>
        <v/>
      </c>
      <c r="Y55" s="1" t="str">
        <f aca="false">IF($C55="","",VLOOKUP($C55,coefs!$A:$V,8,FALSE()))</f>
        <v/>
      </c>
      <c r="Z55" s="1" t="str">
        <f aca="false">IF($C55="","",VLOOKUP($C55,coefs!$A:$V,9,FALSE()))</f>
        <v/>
      </c>
      <c r="AA55" s="1" t="str">
        <f aca="false">IF($C55="","",VLOOKUP($C55,coefs!$A:$V,10,FALSE()))</f>
        <v/>
      </c>
      <c r="AB55" s="1" t="str">
        <f aca="false">IF($C55="","",VLOOKUP($C55,coefs!$A:$V,11,FALSE()))</f>
        <v/>
      </c>
      <c r="AC55" s="1" t="str">
        <f aca="false">IF($C55="","",VLOOKUP($C55,coefs!$A:$V,12,FALSE()))</f>
        <v/>
      </c>
      <c r="AD55" s="1" t="str">
        <f aca="false">IF($C55="","",VLOOKUP($C55,coefs!$A:$V,13,FALSE()))</f>
        <v/>
      </c>
      <c r="AE55" s="1" t="str">
        <f aca="false">IF($C55="","",VLOOKUP($C55,coefs!$A:$V,14,FALSE()))</f>
        <v/>
      </c>
      <c r="AF55" s="1" t="str">
        <f aca="false">IF($C55="","",VLOOKUP($C55,coefs!$A:$V,15,FALSE()))</f>
        <v/>
      </c>
      <c r="AG55" s="1" t="str">
        <f aca="false">IF($C55="","",VLOOKUP($C55,coefs!$A:$V,16,FALSE()))</f>
        <v/>
      </c>
      <c r="AH55" s="1" t="str">
        <f aca="false">IF($C55="","",VLOOKUP($C55,coefs!$A:$V,17,FALSE()))</f>
        <v/>
      </c>
      <c r="AI55" s="1" t="str">
        <f aca="false">IF($C55="","",VLOOKUP($C55,coefs!$A:$V,18,FALSE()))</f>
        <v/>
      </c>
      <c r="AJ55" s="1" t="str">
        <f aca="false">IF($C55="","",VLOOKUP($C55,coefs!$A:$V,19,FALSE()))</f>
        <v/>
      </c>
      <c r="AK55" s="1" t="str">
        <f aca="false">IF($C55="","",VLOOKUP($C55,coefs!$A:$V,20,FALSE()))</f>
        <v/>
      </c>
      <c r="AL55" s="1" t="str">
        <f aca="false">IF($C55="","",VLOOKUP($C55,coefs!$A:$V,21,FALSE()))</f>
        <v/>
      </c>
      <c r="AM55" s="1" t="str">
        <f aca="false">IF($C55="","",VLOOKUP($C55,coefs!$A:$V,22,FALSE()))</f>
        <v/>
      </c>
    </row>
    <row r="56" customFormat="false" ht="15" hidden="false" customHeight="true" outlineLevel="0" collapsed="false">
      <c r="A56" s="14"/>
      <c r="B56" s="14"/>
      <c r="C56" s="14"/>
      <c r="D56" s="15"/>
      <c r="E56" s="16"/>
      <c r="F56" s="16"/>
      <c r="G56" s="16"/>
      <c r="H56" s="17"/>
      <c r="I56" s="16"/>
      <c r="J56" s="16"/>
      <c r="K56" s="17"/>
      <c r="L56" s="17"/>
      <c r="M56" s="15" t="str">
        <f aca="false">IFERROR(IF(OR($C56="",$D56=""),"",IF($C56="Pinus pinaster",S56/(1+T56*EXP(-U56*$D56)),IF($C56="Quercus pyrenaica",S56*EXP(T56*EXP(-U56*$D56)),1.3+EXP(S56*EXP(-T56*$D56^(-U56)))))),"")</f>
        <v/>
      </c>
      <c r="N56" s="15" t="str">
        <f aca="false">IFERROR(IF($C56="Pinus sylvestris",IF(OR($D56="",$E56="",$F56=""),"",1.3+EXP((V56+W56*$E56)*EXP(-(X56+Y56*$F56)*$D56^(-(Z56+AA56*$E56))))),IF($C56="Pinus nigra",IF(OR($D56="",$E56="",$F56="",$J56=""),"",1.3+EXP((V56+W56*$J56)*EXP(-(X56+Y56*$F56)*$D56^(-(Z56+AA56*$E56))))),IF($C56="Pinus pinaster",IF(OR($D56="",$E56="",$H56="",$F56=""),"",(V56+W56*$E56)/(1+(X56+Y56*$H56)*EXP(-(Z56+AA56*$F56)*$D56))),IF($C56="Quercus pyrenaica",IF(OR($D56="",$E56="",$G56="",$J56=""),"",(V56+W56*$E56)*EXP((X56+Y56*$G56)*EXP(-(Z56+AA56*$J56)*$D56))),"")))),"")</f>
        <v/>
      </c>
      <c r="O56" s="15" t="str">
        <f aca="false">IFERROR(IF($C56="Pinus sylvestris",IF(OR($D56="",$H56="",$I56="",$J56=""),"",1.3+EXP((AB56+AC56*$H56)*EXP(-(AD56+AE56*$I56)*$D56^(-(AF56+AG56*$J56))))),IF($C56="Pinus nigra",IF(OR($D56="",$H56="",$L56="",$I56=""),"",1.3+EXP((AB56+AC56*$H56)*EXP(-(AD56+AE56*$L56)*$D56^(-(AF56+AG56*$I56))))),IF($C56="Pinus pinaster",IF(OR($D56="",$I56="",$K56=""),"",(AB56+AC56*$I56)/(1+(AD56+AE56*$K56)*EXP(-(AF56+AG56*$I56)*$D56))),IF($C56="Quercus pyrenaica",IF(OR($D56="",$L56="",$J56="",$I56=""),"",(AB56+AC56*$L56)*EXP((AD56+AE56*$J56)*EXP(-(AF56+AG56*$I56)*$D56))),"")))),"")</f>
        <v/>
      </c>
      <c r="P56" s="15" t="str">
        <f aca="false">IFERROR(IF(OR($C56="",$D56="",$E56="",$G56=""),"",1.3+(AH56+AI56*$E56-AJ56*$G56)*EXP(-AK56/SQRT($D56))),"")</f>
        <v/>
      </c>
      <c r="Q56" s="15" t="str">
        <f aca="false">IFERROR(IF(OR($C56="",$D56=""),"",1.3+AL56*(LN(1+$D56))^AM56),"")</f>
        <v/>
      </c>
      <c r="S56" s="1" t="str">
        <f aca="false">IF($C56="","",VLOOKUP($C56,coefs!$A:$V,2,FALSE()))</f>
        <v/>
      </c>
      <c r="T56" s="1" t="str">
        <f aca="false">IF($C56="","",VLOOKUP($C56,coefs!$A:$V,3,FALSE()))</f>
        <v/>
      </c>
      <c r="U56" s="1" t="str">
        <f aca="false">IF($C56="","",VLOOKUP($C56,coefs!$A:$V,4,FALSE()))</f>
        <v/>
      </c>
      <c r="V56" s="1" t="str">
        <f aca="false">IF($C56="","",VLOOKUP($C56,coefs!$A:$V,5,FALSE()))</f>
        <v/>
      </c>
      <c r="W56" s="1" t="str">
        <f aca="false">IF($C56="","",VLOOKUP($C56,coefs!$A:$V,6,FALSE()))</f>
        <v/>
      </c>
      <c r="X56" s="1" t="str">
        <f aca="false">IF($C56="","",VLOOKUP($C56,coefs!$A:$V,7,FALSE()))</f>
        <v/>
      </c>
      <c r="Y56" s="1" t="str">
        <f aca="false">IF($C56="","",VLOOKUP($C56,coefs!$A:$V,8,FALSE()))</f>
        <v/>
      </c>
      <c r="Z56" s="1" t="str">
        <f aca="false">IF($C56="","",VLOOKUP($C56,coefs!$A:$V,9,FALSE()))</f>
        <v/>
      </c>
      <c r="AA56" s="1" t="str">
        <f aca="false">IF($C56="","",VLOOKUP($C56,coefs!$A:$V,10,FALSE()))</f>
        <v/>
      </c>
      <c r="AB56" s="1" t="str">
        <f aca="false">IF($C56="","",VLOOKUP($C56,coefs!$A:$V,11,FALSE()))</f>
        <v/>
      </c>
      <c r="AC56" s="1" t="str">
        <f aca="false">IF($C56="","",VLOOKUP($C56,coefs!$A:$V,12,FALSE()))</f>
        <v/>
      </c>
      <c r="AD56" s="1" t="str">
        <f aca="false">IF($C56="","",VLOOKUP($C56,coefs!$A:$V,13,FALSE()))</f>
        <v/>
      </c>
      <c r="AE56" s="1" t="str">
        <f aca="false">IF($C56="","",VLOOKUP($C56,coefs!$A:$V,14,FALSE()))</f>
        <v/>
      </c>
      <c r="AF56" s="1" t="str">
        <f aca="false">IF($C56="","",VLOOKUP($C56,coefs!$A:$V,15,FALSE()))</f>
        <v/>
      </c>
      <c r="AG56" s="1" t="str">
        <f aca="false">IF($C56="","",VLOOKUP($C56,coefs!$A:$V,16,FALSE()))</f>
        <v/>
      </c>
      <c r="AH56" s="1" t="str">
        <f aca="false">IF($C56="","",VLOOKUP($C56,coefs!$A:$V,17,FALSE()))</f>
        <v/>
      </c>
      <c r="AI56" s="1" t="str">
        <f aca="false">IF($C56="","",VLOOKUP($C56,coefs!$A:$V,18,FALSE()))</f>
        <v/>
      </c>
      <c r="AJ56" s="1" t="str">
        <f aca="false">IF($C56="","",VLOOKUP($C56,coefs!$A:$V,19,FALSE()))</f>
        <v/>
      </c>
      <c r="AK56" s="1" t="str">
        <f aca="false">IF($C56="","",VLOOKUP($C56,coefs!$A:$V,20,FALSE()))</f>
        <v/>
      </c>
      <c r="AL56" s="1" t="str">
        <f aca="false">IF($C56="","",VLOOKUP($C56,coefs!$A:$V,21,FALSE()))</f>
        <v/>
      </c>
      <c r="AM56" s="1" t="str">
        <f aca="false">IF($C56="","",VLOOKUP($C56,coefs!$A:$V,22,FALSE()))</f>
        <v/>
      </c>
    </row>
    <row r="57" customFormat="false" ht="15" hidden="false" customHeight="true" outlineLevel="0" collapsed="false">
      <c r="A57" s="14"/>
      <c r="B57" s="14"/>
      <c r="C57" s="14"/>
      <c r="D57" s="15"/>
      <c r="E57" s="16"/>
      <c r="F57" s="16"/>
      <c r="G57" s="16"/>
      <c r="H57" s="17"/>
      <c r="I57" s="16"/>
      <c r="J57" s="16"/>
      <c r="K57" s="17"/>
      <c r="L57" s="17"/>
      <c r="M57" s="15" t="str">
        <f aca="false">IFERROR(IF(OR($C57="",$D57=""),"",IF($C57="Pinus pinaster",S57/(1+T57*EXP(-U57*$D57)),IF($C57="Quercus pyrenaica",S57*EXP(T57*EXP(-U57*$D57)),1.3+EXP(S57*EXP(-T57*$D57^(-U57)))))),"")</f>
        <v/>
      </c>
      <c r="N57" s="15" t="str">
        <f aca="false">IFERROR(IF($C57="Pinus sylvestris",IF(OR($D57="",$E57="",$F57=""),"",1.3+EXP((V57+W57*$E57)*EXP(-(X57+Y57*$F57)*$D57^(-(Z57+AA57*$E57))))),IF($C57="Pinus nigra",IF(OR($D57="",$E57="",$F57="",$J57=""),"",1.3+EXP((V57+W57*$J57)*EXP(-(X57+Y57*$F57)*$D57^(-(Z57+AA57*$E57))))),IF($C57="Pinus pinaster",IF(OR($D57="",$E57="",$H57="",$F57=""),"",(V57+W57*$E57)/(1+(X57+Y57*$H57)*EXP(-(Z57+AA57*$F57)*$D57))),IF($C57="Quercus pyrenaica",IF(OR($D57="",$E57="",$G57="",$J57=""),"",(V57+W57*$E57)*EXP((X57+Y57*$G57)*EXP(-(Z57+AA57*$J57)*$D57))),"")))),"")</f>
        <v/>
      </c>
      <c r="O57" s="15" t="str">
        <f aca="false">IFERROR(IF($C57="Pinus sylvestris",IF(OR($D57="",$H57="",$I57="",$J57=""),"",1.3+EXP((AB57+AC57*$H57)*EXP(-(AD57+AE57*$I57)*$D57^(-(AF57+AG57*$J57))))),IF($C57="Pinus nigra",IF(OR($D57="",$H57="",$L57="",$I57=""),"",1.3+EXP((AB57+AC57*$H57)*EXP(-(AD57+AE57*$L57)*$D57^(-(AF57+AG57*$I57))))),IF($C57="Pinus pinaster",IF(OR($D57="",$I57="",$K57=""),"",(AB57+AC57*$I57)/(1+(AD57+AE57*$K57)*EXP(-(AF57+AG57*$I57)*$D57))),IF($C57="Quercus pyrenaica",IF(OR($D57="",$L57="",$J57="",$I57=""),"",(AB57+AC57*$L57)*EXP((AD57+AE57*$J57)*EXP(-(AF57+AG57*$I57)*$D57))),"")))),"")</f>
        <v/>
      </c>
      <c r="P57" s="15" t="str">
        <f aca="false">IFERROR(IF(OR($C57="",$D57="",$E57="",$G57=""),"",1.3+(AH57+AI57*$E57-AJ57*$G57)*EXP(-AK57/SQRT($D57))),"")</f>
        <v/>
      </c>
      <c r="Q57" s="15" t="str">
        <f aca="false">IFERROR(IF(OR($C57="",$D57=""),"",1.3+AL57*(LN(1+$D57))^AM57),"")</f>
        <v/>
      </c>
      <c r="S57" s="1" t="str">
        <f aca="false">IF($C57="","",VLOOKUP($C57,coefs!$A:$V,2,FALSE()))</f>
        <v/>
      </c>
      <c r="T57" s="1" t="str">
        <f aca="false">IF($C57="","",VLOOKUP($C57,coefs!$A:$V,3,FALSE()))</f>
        <v/>
      </c>
      <c r="U57" s="1" t="str">
        <f aca="false">IF($C57="","",VLOOKUP($C57,coefs!$A:$V,4,FALSE()))</f>
        <v/>
      </c>
      <c r="V57" s="1" t="str">
        <f aca="false">IF($C57="","",VLOOKUP($C57,coefs!$A:$V,5,FALSE()))</f>
        <v/>
      </c>
      <c r="W57" s="1" t="str">
        <f aca="false">IF($C57="","",VLOOKUP($C57,coefs!$A:$V,6,FALSE()))</f>
        <v/>
      </c>
      <c r="X57" s="1" t="str">
        <f aca="false">IF($C57="","",VLOOKUP($C57,coefs!$A:$V,7,FALSE()))</f>
        <v/>
      </c>
      <c r="Y57" s="1" t="str">
        <f aca="false">IF($C57="","",VLOOKUP($C57,coefs!$A:$V,8,FALSE()))</f>
        <v/>
      </c>
      <c r="Z57" s="1" t="str">
        <f aca="false">IF($C57="","",VLOOKUP($C57,coefs!$A:$V,9,FALSE()))</f>
        <v/>
      </c>
      <c r="AA57" s="1" t="str">
        <f aca="false">IF($C57="","",VLOOKUP($C57,coefs!$A:$V,10,FALSE()))</f>
        <v/>
      </c>
      <c r="AB57" s="1" t="str">
        <f aca="false">IF($C57="","",VLOOKUP($C57,coefs!$A:$V,11,FALSE()))</f>
        <v/>
      </c>
      <c r="AC57" s="1" t="str">
        <f aca="false">IF($C57="","",VLOOKUP($C57,coefs!$A:$V,12,FALSE()))</f>
        <v/>
      </c>
      <c r="AD57" s="1" t="str">
        <f aca="false">IF($C57="","",VLOOKUP($C57,coefs!$A:$V,13,FALSE()))</f>
        <v/>
      </c>
      <c r="AE57" s="1" t="str">
        <f aca="false">IF($C57="","",VLOOKUP($C57,coefs!$A:$V,14,FALSE()))</f>
        <v/>
      </c>
      <c r="AF57" s="1" t="str">
        <f aca="false">IF($C57="","",VLOOKUP($C57,coefs!$A:$V,15,FALSE()))</f>
        <v/>
      </c>
      <c r="AG57" s="1" t="str">
        <f aca="false">IF($C57="","",VLOOKUP($C57,coefs!$A:$V,16,FALSE()))</f>
        <v/>
      </c>
      <c r="AH57" s="1" t="str">
        <f aca="false">IF($C57="","",VLOOKUP($C57,coefs!$A:$V,17,FALSE()))</f>
        <v/>
      </c>
      <c r="AI57" s="1" t="str">
        <f aca="false">IF($C57="","",VLOOKUP($C57,coefs!$A:$V,18,FALSE()))</f>
        <v/>
      </c>
      <c r="AJ57" s="1" t="str">
        <f aca="false">IF($C57="","",VLOOKUP($C57,coefs!$A:$V,19,FALSE()))</f>
        <v/>
      </c>
      <c r="AK57" s="1" t="str">
        <f aca="false">IF($C57="","",VLOOKUP($C57,coefs!$A:$V,20,FALSE()))</f>
        <v/>
      </c>
      <c r="AL57" s="1" t="str">
        <f aca="false">IF($C57="","",VLOOKUP($C57,coefs!$A:$V,21,FALSE()))</f>
        <v/>
      </c>
      <c r="AM57" s="1" t="str">
        <f aca="false">IF($C57="","",VLOOKUP($C57,coefs!$A:$V,22,FALSE()))</f>
        <v/>
      </c>
    </row>
    <row r="58" customFormat="false" ht="15" hidden="false" customHeight="true" outlineLevel="0" collapsed="false">
      <c r="A58" s="14"/>
      <c r="B58" s="14"/>
      <c r="C58" s="14"/>
      <c r="D58" s="15"/>
      <c r="E58" s="16"/>
      <c r="F58" s="16"/>
      <c r="G58" s="16"/>
      <c r="H58" s="17"/>
      <c r="I58" s="16"/>
      <c r="J58" s="16"/>
      <c r="K58" s="17"/>
      <c r="L58" s="17"/>
      <c r="M58" s="15" t="str">
        <f aca="false">IFERROR(IF(OR($C58="",$D58=""),"",IF($C58="Pinus pinaster",S58/(1+T58*EXP(-U58*$D58)),IF($C58="Quercus pyrenaica",S58*EXP(T58*EXP(-U58*$D58)),1.3+EXP(S58*EXP(-T58*$D58^(-U58)))))),"")</f>
        <v/>
      </c>
      <c r="N58" s="15" t="str">
        <f aca="false">IFERROR(IF($C58="Pinus sylvestris",IF(OR($D58="",$E58="",$F58=""),"",1.3+EXP((V58+W58*$E58)*EXP(-(X58+Y58*$F58)*$D58^(-(Z58+AA58*$E58))))),IF($C58="Pinus nigra",IF(OR($D58="",$E58="",$F58="",$J58=""),"",1.3+EXP((V58+W58*$J58)*EXP(-(X58+Y58*$F58)*$D58^(-(Z58+AA58*$E58))))),IF($C58="Pinus pinaster",IF(OR($D58="",$E58="",$H58="",$F58=""),"",(V58+W58*$E58)/(1+(X58+Y58*$H58)*EXP(-(Z58+AA58*$F58)*$D58))),IF($C58="Quercus pyrenaica",IF(OR($D58="",$E58="",$G58="",$J58=""),"",(V58+W58*$E58)*EXP((X58+Y58*$G58)*EXP(-(Z58+AA58*$J58)*$D58))),"")))),"")</f>
        <v/>
      </c>
      <c r="O58" s="15" t="str">
        <f aca="false">IFERROR(IF($C58="Pinus sylvestris",IF(OR($D58="",$H58="",$I58="",$J58=""),"",1.3+EXP((AB58+AC58*$H58)*EXP(-(AD58+AE58*$I58)*$D58^(-(AF58+AG58*$J58))))),IF($C58="Pinus nigra",IF(OR($D58="",$H58="",$L58="",$I58=""),"",1.3+EXP((AB58+AC58*$H58)*EXP(-(AD58+AE58*$L58)*$D58^(-(AF58+AG58*$I58))))),IF($C58="Pinus pinaster",IF(OR($D58="",$I58="",$K58=""),"",(AB58+AC58*$I58)/(1+(AD58+AE58*$K58)*EXP(-(AF58+AG58*$I58)*$D58))),IF($C58="Quercus pyrenaica",IF(OR($D58="",$L58="",$J58="",$I58=""),"",(AB58+AC58*$L58)*EXP((AD58+AE58*$J58)*EXP(-(AF58+AG58*$I58)*$D58))),"")))),"")</f>
        <v/>
      </c>
      <c r="P58" s="15" t="str">
        <f aca="false">IFERROR(IF(OR($C58="",$D58="",$E58="",$G58=""),"",1.3+(AH58+AI58*$E58-AJ58*$G58)*EXP(-AK58/SQRT($D58))),"")</f>
        <v/>
      </c>
      <c r="Q58" s="15" t="str">
        <f aca="false">IFERROR(IF(OR($C58="",$D58=""),"",1.3+AL58*(LN(1+$D58))^AM58),"")</f>
        <v/>
      </c>
      <c r="S58" s="1" t="str">
        <f aca="false">IF($C58="","",VLOOKUP($C58,coefs!$A:$V,2,FALSE()))</f>
        <v/>
      </c>
      <c r="T58" s="1" t="str">
        <f aca="false">IF($C58="","",VLOOKUP($C58,coefs!$A:$V,3,FALSE()))</f>
        <v/>
      </c>
      <c r="U58" s="1" t="str">
        <f aca="false">IF($C58="","",VLOOKUP($C58,coefs!$A:$V,4,FALSE()))</f>
        <v/>
      </c>
      <c r="V58" s="1" t="str">
        <f aca="false">IF($C58="","",VLOOKUP($C58,coefs!$A:$V,5,FALSE()))</f>
        <v/>
      </c>
      <c r="W58" s="1" t="str">
        <f aca="false">IF($C58="","",VLOOKUP($C58,coefs!$A:$V,6,FALSE()))</f>
        <v/>
      </c>
      <c r="X58" s="1" t="str">
        <f aca="false">IF($C58="","",VLOOKUP($C58,coefs!$A:$V,7,FALSE()))</f>
        <v/>
      </c>
      <c r="Y58" s="1" t="str">
        <f aca="false">IF($C58="","",VLOOKUP($C58,coefs!$A:$V,8,FALSE()))</f>
        <v/>
      </c>
      <c r="Z58" s="1" t="str">
        <f aca="false">IF($C58="","",VLOOKUP($C58,coefs!$A:$V,9,FALSE()))</f>
        <v/>
      </c>
      <c r="AA58" s="1" t="str">
        <f aca="false">IF($C58="","",VLOOKUP($C58,coefs!$A:$V,10,FALSE()))</f>
        <v/>
      </c>
      <c r="AB58" s="1" t="str">
        <f aca="false">IF($C58="","",VLOOKUP($C58,coefs!$A:$V,11,FALSE()))</f>
        <v/>
      </c>
      <c r="AC58" s="1" t="str">
        <f aca="false">IF($C58="","",VLOOKUP($C58,coefs!$A:$V,12,FALSE()))</f>
        <v/>
      </c>
      <c r="AD58" s="1" t="str">
        <f aca="false">IF($C58="","",VLOOKUP($C58,coefs!$A:$V,13,FALSE()))</f>
        <v/>
      </c>
      <c r="AE58" s="1" t="str">
        <f aca="false">IF($C58="","",VLOOKUP($C58,coefs!$A:$V,14,FALSE()))</f>
        <v/>
      </c>
      <c r="AF58" s="1" t="str">
        <f aca="false">IF($C58="","",VLOOKUP($C58,coefs!$A:$V,15,FALSE()))</f>
        <v/>
      </c>
      <c r="AG58" s="1" t="str">
        <f aca="false">IF($C58="","",VLOOKUP($C58,coefs!$A:$V,16,FALSE()))</f>
        <v/>
      </c>
      <c r="AH58" s="1" t="str">
        <f aca="false">IF($C58="","",VLOOKUP($C58,coefs!$A:$V,17,FALSE()))</f>
        <v/>
      </c>
      <c r="AI58" s="1" t="str">
        <f aca="false">IF($C58="","",VLOOKUP($C58,coefs!$A:$V,18,FALSE()))</f>
        <v/>
      </c>
      <c r="AJ58" s="1" t="str">
        <f aca="false">IF($C58="","",VLOOKUP($C58,coefs!$A:$V,19,FALSE()))</f>
        <v/>
      </c>
      <c r="AK58" s="1" t="str">
        <f aca="false">IF($C58="","",VLOOKUP($C58,coefs!$A:$V,20,FALSE()))</f>
        <v/>
      </c>
      <c r="AL58" s="1" t="str">
        <f aca="false">IF($C58="","",VLOOKUP($C58,coefs!$A:$V,21,FALSE()))</f>
        <v/>
      </c>
      <c r="AM58" s="1" t="str">
        <f aca="false">IF($C58="","",VLOOKUP($C58,coefs!$A:$V,22,FALSE()))</f>
        <v/>
      </c>
    </row>
    <row r="59" customFormat="false" ht="15" hidden="false" customHeight="true" outlineLevel="0" collapsed="false">
      <c r="A59" s="14"/>
      <c r="B59" s="14"/>
      <c r="C59" s="14"/>
      <c r="D59" s="15"/>
      <c r="E59" s="16"/>
      <c r="F59" s="16"/>
      <c r="G59" s="16"/>
      <c r="H59" s="17"/>
      <c r="I59" s="16"/>
      <c r="J59" s="16"/>
      <c r="K59" s="17"/>
      <c r="L59" s="17"/>
      <c r="M59" s="15" t="str">
        <f aca="false">IFERROR(IF(OR($C59="",$D59=""),"",IF($C59="Pinus pinaster",S59/(1+T59*EXP(-U59*$D59)),IF($C59="Quercus pyrenaica",S59*EXP(T59*EXP(-U59*$D59)),1.3+EXP(S59*EXP(-T59*$D59^(-U59)))))),"")</f>
        <v/>
      </c>
      <c r="N59" s="15" t="str">
        <f aca="false">IFERROR(IF($C59="Pinus sylvestris",IF(OR($D59="",$E59="",$F59=""),"",1.3+EXP((V59+W59*$E59)*EXP(-(X59+Y59*$F59)*$D59^(-(Z59+AA59*$E59))))),IF($C59="Pinus nigra",IF(OR($D59="",$E59="",$F59="",$J59=""),"",1.3+EXP((V59+W59*$J59)*EXP(-(X59+Y59*$F59)*$D59^(-(Z59+AA59*$E59))))),IF($C59="Pinus pinaster",IF(OR($D59="",$E59="",$H59="",$F59=""),"",(V59+W59*$E59)/(1+(X59+Y59*$H59)*EXP(-(Z59+AA59*$F59)*$D59))),IF($C59="Quercus pyrenaica",IF(OR($D59="",$E59="",$G59="",$J59=""),"",(V59+W59*$E59)*EXP((X59+Y59*$G59)*EXP(-(Z59+AA59*$J59)*$D59))),"")))),"")</f>
        <v/>
      </c>
      <c r="O59" s="15" t="str">
        <f aca="false">IFERROR(IF($C59="Pinus sylvestris",IF(OR($D59="",$H59="",$I59="",$J59=""),"",1.3+EXP((AB59+AC59*$H59)*EXP(-(AD59+AE59*$I59)*$D59^(-(AF59+AG59*$J59))))),IF($C59="Pinus nigra",IF(OR($D59="",$H59="",$L59="",$I59=""),"",1.3+EXP((AB59+AC59*$H59)*EXP(-(AD59+AE59*$L59)*$D59^(-(AF59+AG59*$I59))))),IF($C59="Pinus pinaster",IF(OR($D59="",$I59="",$K59=""),"",(AB59+AC59*$I59)/(1+(AD59+AE59*$K59)*EXP(-(AF59+AG59*$I59)*$D59))),IF($C59="Quercus pyrenaica",IF(OR($D59="",$L59="",$J59="",$I59=""),"",(AB59+AC59*$L59)*EXP((AD59+AE59*$J59)*EXP(-(AF59+AG59*$I59)*$D59))),"")))),"")</f>
        <v/>
      </c>
      <c r="P59" s="15" t="str">
        <f aca="false">IFERROR(IF(OR($C59="",$D59="",$E59="",$G59=""),"",1.3+(AH59+AI59*$E59-AJ59*$G59)*EXP(-AK59/SQRT($D59))),"")</f>
        <v/>
      </c>
      <c r="Q59" s="15" t="str">
        <f aca="false">IFERROR(IF(OR($C59="",$D59=""),"",1.3+AL59*(LN(1+$D59))^AM59),"")</f>
        <v/>
      </c>
      <c r="S59" s="1" t="str">
        <f aca="false">IF($C59="","",VLOOKUP($C59,coefs!$A:$V,2,FALSE()))</f>
        <v/>
      </c>
      <c r="T59" s="1" t="str">
        <f aca="false">IF($C59="","",VLOOKUP($C59,coefs!$A:$V,3,FALSE()))</f>
        <v/>
      </c>
      <c r="U59" s="1" t="str">
        <f aca="false">IF($C59="","",VLOOKUP($C59,coefs!$A:$V,4,FALSE()))</f>
        <v/>
      </c>
      <c r="V59" s="1" t="str">
        <f aca="false">IF($C59="","",VLOOKUP($C59,coefs!$A:$V,5,FALSE()))</f>
        <v/>
      </c>
      <c r="W59" s="1" t="str">
        <f aca="false">IF($C59="","",VLOOKUP($C59,coefs!$A:$V,6,FALSE()))</f>
        <v/>
      </c>
      <c r="X59" s="1" t="str">
        <f aca="false">IF($C59="","",VLOOKUP($C59,coefs!$A:$V,7,FALSE()))</f>
        <v/>
      </c>
      <c r="Y59" s="1" t="str">
        <f aca="false">IF($C59="","",VLOOKUP($C59,coefs!$A:$V,8,FALSE()))</f>
        <v/>
      </c>
      <c r="Z59" s="1" t="str">
        <f aca="false">IF($C59="","",VLOOKUP($C59,coefs!$A:$V,9,FALSE()))</f>
        <v/>
      </c>
      <c r="AA59" s="1" t="str">
        <f aca="false">IF($C59="","",VLOOKUP($C59,coefs!$A:$V,10,FALSE()))</f>
        <v/>
      </c>
      <c r="AB59" s="1" t="str">
        <f aca="false">IF($C59="","",VLOOKUP($C59,coefs!$A:$V,11,FALSE()))</f>
        <v/>
      </c>
      <c r="AC59" s="1" t="str">
        <f aca="false">IF($C59="","",VLOOKUP($C59,coefs!$A:$V,12,FALSE()))</f>
        <v/>
      </c>
      <c r="AD59" s="1" t="str">
        <f aca="false">IF($C59="","",VLOOKUP($C59,coefs!$A:$V,13,FALSE()))</f>
        <v/>
      </c>
      <c r="AE59" s="1" t="str">
        <f aca="false">IF($C59="","",VLOOKUP($C59,coefs!$A:$V,14,FALSE()))</f>
        <v/>
      </c>
      <c r="AF59" s="1" t="str">
        <f aca="false">IF($C59="","",VLOOKUP($C59,coefs!$A:$V,15,FALSE()))</f>
        <v/>
      </c>
      <c r="AG59" s="1" t="str">
        <f aca="false">IF($C59="","",VLOOKUP($C59,coefs!$A:$V,16,FALSE()))</f>
        <v/>
      </c>
      <c r="AH59" s="1" t="str">
        <f aca="false">IF($C59="","",VLOOKUP($C59,coefs!$A:$V,17,FALSE()))</f>
        <v/>
      </c>
      <c r="AI59" s="1" t="str">
        <f aca="false">IF($C59="","",VLOOKUP($C59,coefs!$A:$V,18,FALSE()))</f>
        <v/>
      </c>
      <c r="AJ59" s="1" t="str">
        <f aca="false">IF($C59="","",VLOOKUP($C59,coefs!$A:$V,19,FALSE()))</f>
        <v/>
      </c>
      <c r="AK59" s="1" t="str">
        <f aca="false">IF($C59="","",VLOOKUP($C59,coefs!$A:$V,20,FALSE()))</f>
        <v/>
      </c>
      <c r="AL59" s="1" t="str">
        <f aca="false">IF($C59="","",VLOOKUP($C59,coefs!$A:$V,21,FALSE()))</f>
        <v/>
      </c>
      <c r="AM59" s="1" t="str">
        <f aca="false">IF($C59="","",VLOOKUP($C59,coefs!$A:$V,22,FALSE()))</f>
        <v/>
      </c>
    </row>
    <row r="60" customFormat="false" ht="15" hidden="false" customHeight="true" outlineLevel="0" collapsed="false">
      <c r="A60" s="14"/>
      <c r="B60" s="14"/>
      <c r="C60" s="14"/>
      <c r="D60" s="15"/>
      <c r="E60" s="16"/>
      <c r="F60" s="16"/>
      <c r="G60" s="16"/>
      <c r="H60" s="17"/>
      <c r="I60" s="16"/>
      <c r="J60" s="16"/>
      <c r="K60" s="17"/>
      <c r="L60" s="17"/>
      <c r="M60" s="15" t="str">
        <f aca="false">IFERROR(IF(OR($C60="",$D60=""),"",IF($C60="Pinus pinaster",S60/(1+T60*EXP(-U60*$D60)),IF($C60="Quercus pyrenaica",S60*EXP(T60*EXP(-U60*$D60)),1.3+EXP(S60*EXP(-T60*$D60^(-U60)))))),"")</f>
        <v/>
      </c>
      <c r="N60" s="15" t="str">
        <f aca="false">IFERROR(IF($C60="Pinus sylvestris",IF(OR($D60="",$E60="",$F60=""),"",1.3+EXP((V60+W60*$E60)*EXP(-(X60+Y60*$F60)*$D60^(-(Z60+AA60*$E60))))),IF($C60="Pinus nigra",IF(OR($D60="",$E60="",$F60="",$J60=""),"",1.3+EXP((V60+W60*$J60)*EXP(-(X60+Y60*$F60)*$D60^(-(Z60+AA60*$E60))))),IF($C60="Pinus pinaster",IF(OR($D60="",$E60="",$H60="",$F60=""),"",(V60+W60*$E60)/(1+(X60+Y60*$H60)*EXP(-(Z60+AA60*$F60)*$D60))),IF($C60="Quercus pyrenaica",IF(OR($D60="",$E60="",$G60="",$J60=""),"",(V60+W60*$E60)*EXP((X60+Y60*$G60)*EXP(-(Z60+AA60*$J60)*$D60))),"")))),"")</f>
        <v/>
      </c>
      <c r="O60" s="15" t="str">
        <f aca="false">IFERROR(IF($C60="Pinus sylvestris",IF(OR($D60="",$H60="",$I60="",$J60=""),"",1.3+EXP((AB60+AC60*$H60)*EXP(-(AD60+AE60*$I60)*$D60^(-(AF60+AG60*$J60))))),IF($C60="Pinus nigra",IF(OR($D60="",$H60="",$L60="",$I60=""),"",1.3+EXP((AB60+AC60*$H60)*EXP(-(AD60+AE60*$L60)*$D60^(-(AF60+AG60*$I60))))),IF($C60="Pinus pinaster",IF(OR($D60="",$I60="",$K60=""),"",(AB60+AC60*$I60)/(1+(AD60+AE60*$K60)*EXP(-(AF60+AG60*$I60)*$D60))),IF($C60="Quercus pyrenaica",IF(OR($D60="",$L60="",$J60="",$I60=""),"",(AB60+AC60*$L60)*EXP((AD60+AE60*$J60)*EXP(-(AF60+AG60*$I60)*$D60))),"")))),"")</f>
        <v/>
      </c>
      <c r="P60" s="15" t="str">
        <f aca="false">IFERROR(IF(OR($C60="",$D60="",$E60="",$G60=""),"",1.3+(AH60+AI60*$E60-AJ60*$G60)*EXP(-AK60/SQRT($D60))),"")</f>
        <v/>
      </c>
      <c r="Q60" s="15" t="str">
        <f aca="false">IFERROR(IF(OR($C60="",$D60=""),"",1.3+AL60*(LN(1+$D60))^AM60),"")</f>
        <v/>
      </c>
      <c r="S60" s="1" t="str">
        <f aca="false">IF($C60="","",VLOOKUP($C60,coefs!$A:$V,2,FALSE()))</f>
        <v/>
      </c>
      <c r="T60" s="1" t="str">
        <f aca="false">IF($C60="","",VLOOKUP($C60,coefs!$A:$V,3,FALSE()))</f>
        <v/>
      </c>
      <c r="U60" s="1" t="str">
        <f aca="false">IF($C60="","",VLOOKUP($C60,coefs!$A:$V,4,FALSE()))</f>
        <v/>
      </c>
      <c r="V60" s="1" t="str">
        <f aca="false">IF($C60="","",VLOOKUP($C60,coefs!$A:$V,5,FALSE()))</f>
        <v/>
      </c>
      <c r="W60" s="1" t="str">
        <f aca="false">IF($C60="","",VLOOKUP($C60,coefs!$A:$V,6,FALSE()))</f>
        <v/>
      </c>
      <c r="X60" s="1" t="str">
        <f aca="false">IF($C60="","",VLOOKUP($C60,coefs!$A:$V,7,FALSE()))</f>
        <v/>
      </c>
      <c r="Y60" s="1" t="str">
        <f aca="false">IF($C60="","",VLOOKUP($C60,coefs!$A:$V,8,FALSE()))</f>
        <v/>
      </c>
      <c r="Z60" s="1" t="str">
        <f aca="false">IF($C60="","",VLOOKUP($C60,coefs!$A:$V,9,FALSE()))</f>
        <v/>
      </c>
      <c r="AA60" s="1" t="str">
        <f aca="false">IF($C60="","",VLOOKUP($C60,coefs!$A:$V,10,FALSE()))</f>
        <v/>
      </c>
      <c r="AB60" s="1" t="str">
        <f aca="false">IF($C60="","",VLOOKUP($C60,coefs!$A:$V,11,FALSE()))</f>
        <v/>
      </c>
      <c r="AC60" s="1" t="str">
        <f aca="false">IF($C60="","",VLOOKUP($C60,coefs!$A:$V,12,FALSE()))</f>
        <v/>
      </c>
      <c r="AD60" s="1" t="str">
        <f aca="false">IF($C60="","",VLOOKUP($C60,coefs!$A:$V,13,FALSE()))</f>
        <v/>
      </c>
      <c r="AE60" s="1" t="str">
        <f aca="false">IF($C60="","",VLOOKUP($C60,coefs!$A:$V,14,FALSE()))</f>
        <v/>
      </c>
      <c r="AF60" s="1" t="str">
        <f aca="false">IF($C60="","",VLOOKUP($C60,coefs!$A:$V,15,FALSE()))</f>
        <v/>
      </c>
      <c r="AG60" s="1" t="str">
        <f aca="false">IF($C60="","",VLOOKUP($C60,coefs!$A:$V,16,FALSE()))</f>
        <v/>
      </c>
      <c r="AH60" s="1" t="str">
        <f aca="false">IF($C60="","",VLOOKUP($C60,coefs!$A:$V,17,FALSE()))</f>
        <v/>
      </c>
      <c r="AI60" s="1" t="str">
        <f aca="false">IF($C60="","",VLOOKUP($C60,coefs!$A:$V,18,FALSE()))</f>
        <v/>
      </c>
      <c r="AJ60" s="1" t="str">
        <f aca="false">IF($C60="","",VLOOKUP($C60,coefs!$A:$V,19,FALSE()))</f>
        <v/>
      </c>
      <c r="AK60" s="1" t="str">
        <f aca="false">IF($C60="","",VLOOKUP($C60,coefs!$A:$V,20,FALSE()))</f>
        <v/>
      </c>
      <c r="AL60" s="1" t="str">
        <f aca="false">IF($C60="","",VLOOKUP($C60,coefs!$A:$V,21,FALSE()))</f>
        <v/>
      </c>
      <c r="AM60" s="1" t="str">
        <f aca="false">IF($C60="","",VLOOKUP($C60,coefs!$A:$V,22,FALSE()))</f>
        <v/>
      </c>
    </row>
    <row r="61" customFormat="false" ht="15" hidden="false" customHeight="true" outlineLevel="0" collapsed="false">
      <c r="A61" s="14"/>
      <c r="B61" s="14"/>
      <c r="C61" s="14"/>
      <c r="D61" s="15"/>
      <c r="E61" s="16"/>
      <c r="F61" s="16"/>
      <c r="G61" s="16"/>
      <c r="H61" s="17"/>
      <c r="I61" s="16"/>
      <c r="J61" s="16"/>
      <c r="K61" s="17"/>
      <c r="L61" s="17"/>
      <c r="M61" s="15" t="str">
        <f aca="false">IFERROR(IF(OR($C61="",$D61=""),"",IF($C61="Pinus pinaster",S61/(1+T61*EXP(-U61*$D61)),IF($C61="Quercus pyrenaica",S61*EXP(T61*EXP(-U61*$D61)),1.3+EXP(S61*EXP(-T61*$D61^(-U61)))))),"")</f>
        <v/>
      </c>
      <c r="N61" s="15" t="str">
        <f aca="false">IFERROR(IF($C61="Pinus sylvestris",IF(OR($D61="",$E61="",$F61=""),"",1.3+EXP((V61+W61*$E61)*EXP(-(X61+Y61*$F61)*$D61^(-(Z61+AA61*$E61))))),IF($C61="Pinus nigra",IF(OR($D61="",$E61="",$F61="",$J61=""),"",1.3+EXP((V61+W61*$J61)*EXP(-(X61+Y61*$F61)*$D61^(-(Z61+AA61*$E61))))),IF($C61="Pinus pinaster",IF(OR($D61="",$E61="",$H61="",$F61=""),"",(V61+W61*$E61)/(1+(X61+Y61*$H61)*EXP(-(Z61+AA61*$F61)*$D61))),IF($C61="Quercus pyrenaica",IF(OR($D61="",$E61="",$G61="",$J61=""),"",(V61+W61*$E61)*EXP((X61+Y61*$G61)*EXP(-(Z61+AA61*$J61)*$D61))),"")))),"")</f>
        <v/>
      </c>
      <c r="O61" s="15" t="str">
        <f aca="false">IFERROR(IF($C61="Pinus sylvestris",IF(OR($D61="",$H61="",$I61="",$J61=""),"",1.3+EXP((AB61+AC61*$H61)*EXP(-(AD61+AE61*$I61)*$D61^(-(AF61+AG61*$J61))))),IF($C61="Pinus nigra",IF(OR($D61="",$H61="",$L61="",$I61=""),"",1.3+EXP((AB61+AC61*$H61)*EXP(-(AD61+AE61*$L61)*$D61^(-(AF61+AG61*$I61))))),IF($C61="Pinus pinaster",IF(OR($D61="",$I61="",$K61=""),"",(AB61+AC61*$I61)/(1+(AD61+AE61*$K61)*EXP(-(AF61+AG61*$I61)*$D61))),IF($C61="Quercus pyrenaica",IF(OR($D61="",$L61="",$J61="",$I61=""),"",(AB61+AC61*$L61)*EXP((AD61+AE61*$J61)*EXP(-(AF61+AG61*$I61)*$D61))),"")))),"")</f>
        <v/>
      </c>
      <c r="P61" s="15" t="str">
        <f aca="false">IFERROR(IF(OR($C61="",$D61="",$E61="",$G61=""),"",1.3+(AH61+AI61*$E61-AJ61*$G61)*EXP(-AK61/SQRT($D61))),"")</f>
        <v/>
      </c>
      <c r="Q61" s="15" t="str">
        <f aca="false">IFERROR(IF(OR($C61="",$D61=""),"",1.3+AL61*(LN(1+$D61))^AM61),"")</f>
        <v/>
      </c>
      <c r="S61" s="1" t="str">
        <f aca="false">IF($C61="","",VLOOKUP($C61,coefs!$A:$V,2,FALSE()))</f>
        <v/>
      </c>
      <c r="T61" s="1" t="str">
        <f aca="false">IF($C61="","",VLOOKUP($C61,coefs!$A:$V,3,FALSE()))</f>
        <v/>
      </c>
      <c r="U61" s="1" t="str">
        <f aca="false">IF($C61="","",VLOOKUP($C61,coefs!$A:$V,4,FALSE()))</f>
        <v/>
      </c>
      <c r="V61" s="1" t="str">
        <f aca="false">IF($C61="","",VLOOKUP($C61,coefs!$A:$V,5,FALSE()))</f>
        <v/>
      </c>
      <c r="W61" s="1" t="str">
        <f aca="false">IF($C61="","",VLOOKUP($C61,coefs!$A:$V,6,FALSE()))</f>
        <v/>
      </c>
      <c r="X61" s="1" t="str">
        <f aca="false">IF($C61="","",VLOOKUP($C61,coefs!$A:$V,7,FALSE()))</f>
        <v/>
      </c>
      <c r="Y61" s="1" t="str">
        <f aca="false">IF($C61="","",VLOOKUP($C61,coefs!$A:$V,8,FALSE()))</f>
        <v/>
      </c>
      <c r="Z61" s="1" t="str">
        <f aca="false">IF($C61="","",VLOOKUP($C61,coefs!$A:$V,9,FALSE()))</f>
        <v/>
      </c>
      <c r="AA61" s="1" t="str">
        <f aca="false">IF($C61="","",VLOOKUP($C61,coefs!$A:$V,10,FALSE()))</f>
        <v/>
      </c>
      <c r="AB61" s="1" t="str">
        <f aca="false">IF($C61="","",VLOOKUP($C61,coefs!$A:$V,11,FALSE()))</f>
        <v/>
      </c>
      <c r="AC61" s="1" t="str">
        <f aca="false">IF($C61="","",VLOOKUP($C61,coefs!$A:$V,12,FALSE()))</f>
        <v/>
      </c>
      <c r="AD61" s="1" t="str">
        <f aca="false">IF($C61="","",VLOOKUP($C61,coefs!$A:$V,13,FALSE()))</f>
        <v/>
      </c>
      <c r="AE61" s="1" t="str">
        <f aca="false">IF($C61="","",VLOOKUP($C61,coefs!$A:$V,14,FALSE()))</f>
        <v/>
      </c>
      <c r="AF61" s="1" t="str">
        <f aca="false">IF($C61="","",VLOOKUP($C61,coefs!$A:$V,15,FALSE()))</f>
        <v/>
      </c>
      <c r="AG61" s="1" t="str">
        <f aca="false">IF($C61="","",VLOOKUP($C61,coefs!$A:$V,16,FALSE()))</f>
        <v/>
      </c>
      <c r="AH61" s="1" t="str">
        <f aca="false">IF($C61="","",VLOOKUP($C61,coefs!$A:$V,17,FALSE()))</f>
        <v/>
      </c>
      <c r="AI61" s="1" t="str">
        <f aca="false">IF($C61="","",VLOOKUP($C61,coefs!$A:$V,18,FALSE()))</f>
        <v/>
      </c>
      <c r="AJ61" s="1" t="str">
        <f aca="false">IF($C61="","",VLOOKUP($C61,coefs!$A:$V,19,FALSE()))</f>
        <v/>
      </c>
      <c r="AK61" s="1" t="str">
        <f aca="false">IF($C61="","",VLOOKUP($C61,coefs!$A:$V,20,FALSE()))</f>
        <v/>
      </c>
      <c r="AL61" s="1" t="str">
        <f aca="false">IF($C61="","",VLOOKUP($C61,coefs!$A:$V,21,FALSE()))</f>
        <v/>
      </c>
      <c r="AM61" s="1" t="str">
        <f aca="false">IF($C61="","",VLOOKUP($C61,coefs!$A:$V,22,FALSE()))</f>
        <v/>
      </c>
    </row>
    <row r="62" customFormat="false" ht="15" hidden="false" customHeight="true" outlineLevel="0" collapsed="false">
      <c r="A62" s="14"/>
      <c r="B62" s="14"/>
      <c r="C62" s="14"/>
      <c r="D62" s="15"/>
      <c r="E62" s="16"/>
      <c r="F62" s="16"/>
      <c r="G62" s="16"/>
      <c r="H62" s="17"/>
      <c r="I62" s="16"/>
      <c r="J62" s="16"/>
      <c r="K62" s="17"/>
      <c r="L62" s="17"/>
      <c r="M62" s="15" t="str">
        <f aca="false">IFERROR(IF(OR($C62="",$D62=""),"",IF($C62="Pinus pinaster",S62/(1+T62*EXP(-U62*$D62)),IF($C62="Quercus pyrenaica",S62*EXP(T62*EXP(-U62*$D62)),1.3+EXP(S62*EXP(-T62*$D62^(-U62)))))),"")</f>
        <v/>
      </c>
      <c r="N62" s="15" t="str">
        <f aca="false">IFERROR(IF($C62="Pinus sylvestris",IF(OR($D62="",$E62="",$F62=""),"",1.3+EXP((V62+W62*$E62)*EXP(-(X62+Y62*$F62)*$D62^(-(Z62+AA62*$E62))))),IF($C62="Pinus nigra",IF(OR($D62="",$E62="",$F62="",$J62=""),"",1.3+EXP((V62+W62*$J62)*EXP(-(X62+Y62*$F62)*$D62^(-(Z62+AA62*$E62))))),IF($C62="Pinus pinaster",IF(OR($D62="",$E62="",$H62="",$F62=""),"",(V62+W62*$E62)/(1+(X62+Y62*$H62)*EXP(-(Z62+AA62*$F62)*$D62))),IF($C62="Quercus pyrenaica",IF(OR($D62="",$E62="",$G62="",$J62=""),"",(V62+W62*$E62)*EXP((X62+Y62*$G62)*EXP(-(Z62+AA62*$J62)*$D62))),"")))),"")</f>
        <v/>
      </c>
      <c r="O62" s="15" t="str">
        <f aca="false">IFERROR(IF($C62="Pinus sylvestris",IF(OR($D62="",$H62="",$I62="",$J62=""),"",1.3+EXP((AB62+AC62*$H62)*EXP(-(AD62+AE62*$I62)*$D62^(-(AF62+AG62*$J62))))),IF($C62="Pinus nigra",IF(OR($D62="",$H62="",$L62="",$I62=""),"",1.3+EXP((AB62+AC62*$H62)*EXP(-(AD62+AE62*$L62)*$D62^(-(AF62+AG62*$I62))))),IF($C62="Pinus pinaster",IF(OR($D62="",$I62="",$K62=""),"",(AB62+AC62*$I62)/(1+(AD62+AE62*$K62)*EXP(-(AF62+AG62*$I62)*$D62))),IF($C62="Quercus pyrenaica",IF(OR($D62="",$L62="",$J62="",$I62=""),"",(AB62+AC62*$L62)*EXP((AD62+AE62*$J62)*EXP(-(AF62+AG62*$I62)*$D62))),"")))),"")</f>
        <v/>
      </c>
      <c r="P62" s="15" t="str">
        <f aca="false">IFERROR(IF(OR($C62="",$D62="",$E62="",$G62=""),"",1.3+(AH62+AI62*$E62-AJ62*$G62)*EXP(-AK62/SQRT($D62))),"")</f>
        <v/>
      </c>
      <c r="Q62" s="15" t="str">
        <f aca="false">IFERROR(IF(OR($C62="",$D62=""),"",1.3+AL62*(LN(1+$D62))^AM62),"")</f>
        <v/>
      </c>
      <c r="S62" s="1" t="str">
        <f aca="false">IF($C62="","",VLOOKUP($C62,coefs!$A:$V,2,FALSE()))</f>
        <v/>
      </c>
      <c r="T62" s="1" t="str">
        <f aca="false">IF($C62="","",VLOOKUP($C62,coefs!$A:$V,3,FALSE()))</f>
        <v/>
      </c>
      <c r="U62" s="1" t="str">
        <f aca="false">IF($C62="","",VLOOKUP($C62,coefs!$A:$V,4,FALSE()))</f>
        <v/>
      </c>
      <c r="V62" s="1" t="str">
        <f aca="false">IF($C62="","",VLOOKUP($C62,coefs!$A:$V,5,FALSE()))</f>
        <v/>
      </c>
      <c r="W62" s="1" t="str">
        <f aca="false">IF($C62="","",VLOOKUP($C62,coefs!$A:$V,6,FALSE()))</f>
        <v/>
      </c>
      <c r="X62" s="1" t="str">
        <f aca="false">IF($C62="","",VLOOKUP($C62,coefs!$A:$V,7,FALSE()))</f>
        <v/>
      </c>
      <c r="Y62" s="1" t="str">
        <f aca="false">IF($C62="","",VLOOKUP($C62,coefs!$A:$V,8,FALSE()))</f>
        <v/>
      </c>
      <c r="Z62" s="1" t="str">
        <f aca="false">IF($C62="","",VLOOKUP($C62,coefs!$A:$V,9,FALSE()))</f>
        <v/>
      </c>
      <c r="AA62" s="1" t="str">
        <f aca="false">IF($C62="","",VLOOKUP($C62,coefs!$A:$V,10,FALSE()))</f>
        <v/>
      </c>
      <c r="AB62" s="1" t="str">
        <f aca="false">IF($C62="","",VLOOKUP($C62,coefs!$A:$V,11,FALSE()))</f>
        <v/>
      </c>
      <c r="AC62" s="1" t="str">
        <f aca="false">IF($C62="","",VLOOKUP($C62,coefs!$A:$V,12,FALSE()))</f>
        <v/>
      </c>
      <c r="AD62" s="1" t="str">
        <f aca="false">IF($C62="","",VLOOKUP($C62,coefs!$A:$V,13,FALSE()))</f>
        <v/>
      </c>
      <c r="AE62" s="1" t="str">
        <f aca="false">IF($C62="","",VLOOKUP($C62,coefs!$A:$V,14,FALSE()))</f>
        <v/>
      </c>
      <c r="AF62" s="1" t="str">
        <f aca="false">IF($C62="","",VLOOKUP($C62,coefs!$A:$V,15,FALSE()))</f>
        <v/>
      </c>
      <c r="AG62" s="1" t="str">
        <f aca="false">IF($C62="","",VLOOKUP($C62,coefs!$A:$V,16,FALSE()))</f>
        <v/>
      </c>
      <c r="AH62" s="1" t="str">
        <f aca="false">IF($C62="","",VLOOKUP($C62,coefs!$A:$V,17,FALSE()))</f>
        <v/>
      </c>
      <c r="AI62" s="1" t="str">
        <f aca="false">IF($C62="","",VLOOKUP($C62,coefs!$A:$V,18,FALSE()))</f>
        <v/>
      </c>
      <c r="AJ62" s="1" t="str">
        <f aca="false">IF($C62="","",VLOOKUP($C62,coefs!$A:$V,19,FALSE()))</f>
        <v/>
      </c>
      <c r="AK62" s="1" t="str">
        <f aca="false">IF($C62="","",VLOOKUP($C62,coefs!$A:$V,20,FALSE()))</f>
        <v/>
      </c>
      <c r="AL62" s="1" t="str">
        <f aca="false">IF($C62="","",VLOOKUP($C62,coefs!$A:$V,21,FALSE()))</f>
        <v/>
      </c>
      <c r="AM62" s="1" t="str">
        <f aca="false">IF($C62="","",VLOOKUP($C62,coefs!$A:$V,22,FALSE()))</f>
        <v/>
      </c>
    </row>
    <row r="63" customFormat="false" ht="15" hidden="false" customHeight="true" outlineLevel="0" collapsed="false">
      <c r="A63" s="14"/>
      <c r="B63" s="14"/>
      <c r="C63" s="14"/>
      <c r="D63" s="15"/>
      <c r="E63" s="16"/>
      <c r="F63" s="16"/>
      <c r="G63" s="16"/>
      <c r="H63" s="17"/>
      <c r="I63" s="16"/>
      <c r="J63" s="16"/>
      <c r="K63" s="17"/>
      <c r="L63" s="17"/>
      <c r="M63" s="15" t="str">
        <f aca="false">IFERROR(IF(OR($C63="",$D63=""),"",IF($C63="Pinus pinaster",S63/(1+T63*EXP(-U63*$D63)),IF($C63="Quercus pyrenaica",S63*EXP(T63*EXP(-U63*$D63)),1.3+EXP(S63*EXP(-T63*$D63^(-U63)))))),"")</f>
        <v/>
      </c>
      <c r="N63" s="15" t="str">
        <f aca="false">IFERROR(IF($C63="Pinus sylvestris",IF(OR($D63="",$E63="",$F63=""),"",1.3+EXP((V63+W63*$E63)*EXP(-(X63+Y63*$F63)*$D63^(-(Z63+AA63*$E63))))),IF($C63="Pinus nigra",IF(OR($D63="",$E63="",$F63="",$J63=""),"",1.3+EXP((V63+W63*$J63)*EXP(-(X63+Y63*$F63)*$D63^(-(Z63+AA63*$E63))))),IF($C63="Pinus pinaster",IF(OR($D63="",$E63="",$H63="",$F63=""),"",(V63+W63*$E63)/(1+(X63+Y63*$H63)*EXP(-(Z63+AA63*$F63)*$D63))),IF($C63="Quercus pyrenaica",IF(OR($D63="",$E63="",$G63="",$J63=""),"",(V63+W63*$E63)*EXP((X63+Y63*$G63)*EXP(-(Z63+AA63*$J63)*$D63))),"")))),"")</f>
        <v/>
      </c>
      <c r="O63" s="15" t="str">
        <f aca="false">IFERROR(IF($C63="Pinus sylvestris",IF(OR($D63="",$H63="",$I63="",$J63=""),"",1.3+EXP((AB63+AC63*$H63)*EXP(-(AD63+AE63*$I63)*$D63^(-(AF63+AG63*$J63))))),IF($C63="Pinus nigra",IF(OR($D63="",$H63="",$L63="",$I63=""),"",1.3+EXP((AB63+AC63*$H63)*EXP(-(AD63+AE63*$L63)*$D63^(-(AF63+AG63*$I63))))),IF($C63="Pinus pinaster",IF(OR($D63="",$I63="",$K63=""),"",(AB63+AC63*$I63)/(1+(AD63+AE63*$K63)*EXP(-(AF63+AG63*$I63)*$D63))),IF($C63="Quercus pyrenaica",IF(OR($D63="",$L63="",$J63="",$I63=""),"",(AB63+AC63*$L63)*EXP((AD63+AE63*$J63)*EXP(-(AF63+AG63*$I63)*$D63))),"")))),"")</f>
        <v/>
      </c>
      <c r="P63" s="15" t="str">
        <f aca="false">IFERROR(IF(OR($C63="",$D63="",$E63="",$G63=""),"",1.3+(AH63+AI63*$E63-AJ63*$G63)*EXP(-AK63/SQRT($D63))),"")</f>
        <v/>
      </c>
      <c r="Q63" s="15" t="str">
        <f aca="false">IFERROR(IF(OR($C63="",$D63=""),"",1.3+AL63*(LN(1+$D63))^AM63),"")</f>
        <v/>
      </c>
      <c r="S63" s="1" t="str">
        <f aca="false">IF($C63="","",VLOOKUP($C63,coefs!$A:$V,2,FALSE()))</f>
        <v/>
      </c>
      <c r="T63" s="1" t="str">
        <f aca="false">IF($C63="","",VLOOKUP($C63,coefs!$A:$V,3,FALSE()))</f>
        <v/>
      </c>
      <c r="U63" s="1" t="str">
        <f aca="false">IF($C63="","",VLOOKUP($C63,coefs!$A:$V,4,FALSE()))</f>
        <v/>
      </c>
      <c r="V63" s="1" t="str">
        <f aca="false">IF($C63="","",VLOOKUP($C63,coefs!$A:$V,5,FALSE()))</f>
        <v/>
      </c>
      <c r="W63" s="1" t="str">
        <f aca="false">IF($C63="","",VLOOKUP($C63,coefs!$A:$V,6,FALSE()))</f>
        <v/>
      </c>
      <c r="X63" s="1" t="str">
        <f aca="false">IF($C63="","",VLOOKUP($C63,coefs!$A:$V,7,FALSE()))</f>
        <v/>
      </c>
      <c r="Y63" s="1" t="str">
        <f aca="false">IF($C63="","",VLOOKUP($C63,coefs!$A:$V,8,FALSE()))</f>
        <v/>
      </c>
      <c r="Z63" s="1" t="str">
        <f aca="false">IF($C63="","",VLOOKUP($C63,coefs!$A:$V,9,FALSE()))</f>
        <v/>
      </c>
      <c r="AA63" s="1" t="str">
        <f aca="false">IF($C63="","",VLOOKUP($C63,coefs!$A:$V,10,FALSE()))</f>
        <v/>
      </c>
      <c r="AB63" s="1" t="str">
        <f aca="false">IF($C63="","",VLOOKUP($C63,coefs!$A:$V,11,FALSE()))</f>
        <v/>
      </c>
      <c r="AC63" s="1" t="str">
        <f aca="false">IF($C63="","",VLOOKUP($C63,coefs!$A:$V,12,FALSE()))</f>
        <v/>
      </c>
      <c r="AD63" s="1" t="str">
        <f aca="false">IF($C63="","",VLOOKUP($C63,coefs!$A:$V,13,FALSE()))</f>
        <v/>
      </c>
      <c r="AE63" s="1" t="str">
        <f aca="false">IF($C63="","",VLOOKUP($C63,coefs!$A:$V,14,FALSE()))</f>
        <v/>
      </c>
      <c r="AF63" s="1" t="str">
        <f aca="false">IF($C63="","",VLOOKUP($C63,coefs!$A:$V,15,FALSE()))</f>
        <v/>
      </c>
      <c r="AG63" s="1" t="str">
        <f aca="false">IF($C63="","",VLOOKUP($C63,coefs!$A:$V,16,FALSE()))</f>
        <v/>
      </c>
      <c r="AH63" s="1" t="str">
        <f aca="false">IF($C63="","",VLOOKUP($C63,coefs!$A:$V,17,FALSE()))</f>
        <v/>
      </c>
      <c r="AI63" s="1" t="str">
        <f aca="false">IF($C63="","",VLOOKUP($C63,coefs!$A:$V,18,FALSE()))</f>
        <v/>
      </c>
      <c r="AJ63" s="1" t="str">
        <f aca="false">IF($C63="","",VLOOKUP($C63,coefs!$A:$V,19,FALSE()))</f>
        <v/>
      </c>
      <c r="AK63" s="1" t="str">
        <f aca="false">IF($C63="","",VLOOKUP($C63,coefs!$A:$V,20,FALSE()))</f>
        <v/>
      </c>
      <c r="AL63" s="1" t="str">
        <f aca="false">IF($C63="","",VLOOKUP($C63,coefs!$A:$V,21,FALSE()))</f>
        <v/>
      </c>
      <c r="AM63" s="1" t="str">
        <f aca="false">IF($C63="","",VLOOKUP($C63,coefs!$A:$V,22,FALSE()))</f>
        <v/>
      </c>
    </row>
    <row r="64" customFormat="false" ht="15" hidden="false" customHeight="true" outlineLevel="0" collapsed="false">
      <c r="A64" s="14"/>
      <c r="B64" s="14"/>
      <c r="C64" s="14"/>
      <c r="D64" s="15"/>
      <c r="E64" s="16"/>
      <c r="F64" s="16"/>
      <c r="G64" s="16"/>
      <c r="H64" s="17"/>
      <c r="I64" s="16"/>
      <c r="J64" s="16"/>
      <c r="K64" s="17"/>
      <c r="L64" s="17"/>
      <c r="M64" s="15" t="str">
        <f aca="false">IFERROR(IF(OR($C64="",$D64=""),"",IF($C64="Pinus pinaster",S64/(1+T64*EXP(-U64*$D64)),IF($C64="Quercus pyrenaica",S64*EXP(T64*EXP(-U64*$D64)),1.3+EXP(S64*EXP(-T64*$D64^(-U64)))))),"")</f>
        <v/>
      </c>
      <c r="N64" s="15" t="str">
        <f aca="false">IFERROR(IF($C64="Pinus sylvestris",IF(OR($D64="",$E64="",$F64=""),"",1.3+EXP((V64+W64*$E64)*EXP(-(X64+Y64*$F64)*$D64^(-(Z64+AA64*$E64))))),IF($C64="Pinus nigra",IF(OR($D64="",$E64="",$F64="",$J64=""),"",1.3+EXP((V64+W64*$J64)*EXP(-(X64+Y64*$F64)*$D64^(-(Z64+AA64*$E64))))),IF($C64="Pinus pinaster",IF(OR($D64="",$E64="",$H64="",$F64=""),"",(V64+W64*$E64)/(1+(X64+Y64*$H64)*EXP(-(Z64+AA64*$F64)*$D64))),IF($C64="Quercus pyrenaica",IF(OR($D64="",$E64="",$G64="",$J64=""),"",(V64+W64*$E64)*EXP((X64+Y64*$G64)*EXP(-(Z64+AA64*$J64)*$D64))),"")))),"")</f>
        <v/>
      </c>
      <c r="O64" s="15" t="str">
        <f aca="false">IFERROR(IF($C64="Pinus sylvestris",IF(OR($D64="",$H64="",$I64="",$J64=""),"",1.3+EXP((AB64+AC64*$H64)*EXP(-(AD64+AE64*$I64)*$D64^(-(AF64+AG64*$J64))))),IF($C64="Pinus nigra",IF(OR($D64="",$H64="",$L64="",$I64=""),"",1.3+EXP((AB64+AC64*$H64)*EXP(-(AD64+AE64*$L64)*$D64^(-(AF64+AG64*$I64))))),IF($C64="Pinus pinaster",IF(OR($D64="",$I64="",$K64=""),"",(AB64+AC64*$I64)/(1+(AD64+AE64*$K64)*EXP(-(AF64+AG64*$I64)*$D64))),IF($C64="Quercus pyrenaica",IF(OR($D64="",$L64="",$J64="",$I64=""),"",(AB64+AC64*$L64)*EXP((AD64+AE64*$J64)*EXP(-(AF64+AG64*$I64)*$D64))),"")))),"")</f>
        <v/>
      </c>
      <c r="P64" s="15" t="str">
        <f aca="false">IFERROR(IF(OR($C64="",$D64="",$E64="",$G64=""),"",1.3+(AH64+AI64*$E64-AJ64*$G64)*EXP(-AK64/SQRT($D64))),"")</f>
        <v/>
      </c>
      <c r="Q64" s="15" t="str">
        <f aca="false">IFERROR(IF(OR($C64="",$D64=""),"",1.3+AL64*(LN(1+$D64))^AM64),"")</f>
        <v/>
      </c>
      <c r="S64" s="1" t="str">
        <f aca="false">IF($C64="","",VLOOKUP($C64,coefs!$A:$V,2,FALSE()))</f>
        <v/>
      </c>
      <c r="T64" s="1" t="str">
        <f aca="false">IF($C64="","",VLOOKUP($C64,coefs!$A:$V,3,FALSE()))</f>
        <v/>
      </c>
      <c r="U64" s="1" t="str">
        <f aca="false">IF($C64="","",VLOOKUP($C64,coefs!$A:$V,4,FALSE()))</f>
        <v/>
      </c>
      <c r="V64" s="1" t="str">
        <f aca="false">IF($C64="","",VLOOKUP($C64,coefs!$A:$V,5,FALSE()))</f>
        <v/>
      </c>
      <c r="W64" s="1" t="str">
        <f aca="false">IF($C64="","",VLOOKUP($C64,coefs!$A:$V,6,FALSE()))</f>
        <v/>
      </c>
      <c r="X64" s="1" t="str">
        <f aca="false">IF($C64="","",VLOOKUP($C64,coefs!$A:$V,7,FALSE()))</f>
        <v/>
      </c>
      <c r="Y64" s="1" t="str">
        <f aca="false">IF($C64="","",VLOOKUP($C64,coefs!$A:$V,8,FALSE()))</f>
        <v/>
      </c>
      <c r="Z64" s="1" t="str">
        <f aca="false">IF($C64="","",VLOOKUP($C64,coefs!$A:$V,9,FALSE()))</f>
        <v/>
      </c>
      <c r="AA64" s="1" t="str">
        <f aca="false">IF($C64="","",VLOOKUP($C64,coefs!$A:$V,10,FALSE()))</f>
        <v/>
      </c>
      <c r="AB64" s="1" t="str">
        <f aca="false">IF($C64="","",VLOOKUP($C64,coefs!$A:$V,11,FALSE()))</f>
        <v/>
      </c>
      <c r="AC64" s="1" t="str">
        <f aca="false">IF($C64="","",VLOOKUP($C64,coefs!$A:$V,12,FALSE()))</f>
        <v/>
      </c>
      <c r="AD64" s="1" t="str">
        <f aca="false">IF($C64="","",VLOOKUP($C64,coefs!$A:$V,13,FALSE()))</f>
        <v/>
      </c>
      <c r="AE64" s="1" t="str">
        <f aca="false">IF($C64="","",VLOOKUP($C64,coefs!$A:$V,14,FALSE()))</f>
        <v/>
      </c>
      <c r="AF64" s="1" t="str">
        <f aca="false">IF($C64="","",VLOOKUP($C64,coefs!$A:$V,15,FALSE()))</f>
        <v/>
      </c>
      <c r="AG64" s="1" t="str">
        <f aca="false">IF($C64="","",VLOOKUP($C64,coefs!$A:$V,16,FALSE()))</f>
        <v/>
      </c>
      <c r="AH64" s="1" t="str">
        <f aca="false">IF($C64="","",VLOOKUP($C64,coefs!$A:$V,17,FALSE()))</f>
        <v/>
      </c>
      <c r="AI64" s="1" t="str">
        <f aca="false">IF($C64="","",VLOOKUP($C64,coefs!$A:$V,18,FALSE()))</f>
        <v/>
      </c>
      <c r="AJ64" s="1" t="str">
        <f aca="false">IF($C64="","",VLOOKUP($C64,coefs!$A:$V,19,FALSE()))</f>
        <v/>
      </c>
      <c r="AK64" s="1" t="str">
        <f aca="false">IF($C64="","",VLOOKUP($C64,coefs!$A:$V,20,FALSE()))</f>
        <v/>
      </c>
      <c r="AL64" s="1" t="str">
        <f aca="false">IF($C64="","",VLOOKUP($C64,coefs!$A:$V,21,FALSE()))</f>
        <v/>
      </c>
      <c r="AM64" s="1" t="str">
        <f aca="false">IF($C64="","",VLOOKUP($C64,coefs!$A:$V,22,FALSE()))</f>
        <v/>
      </c>
    </row>
    <row r="65" customFormat="false" ht="15" hidden="false" customHeight="true" outlineLevel="0" collapsed="false">
      <c r="A65" s="14"/>
      <c r="B65" s="14"/>
      <c r="C65" s="14"/>
      <c r="D65" s="15"/>
      <c r="E65" s="16"/>
      <c r="F65" s="16"/>
      <c r="G65" s="16"/>
      <c r="H65" s="17"/>
      <c r="I65" s="16"/>
      <c r="J65" s="16"/>
      <c r="K65" s="17"/>
      <c r="L65" s="17"/>
      <c r="M65" s="15" t="str">
        <f aca="false">IFERROR(IF(OR($C65="",$D65=""),"",IF($C65="Pinus pinaster",S65/(1+T65*EXP(-U65*$D65)),IF($C65="Quercus pyrenaica",S65*EXP(T65*EXP(-U65*$D65)),1.3+EXP(S65*EXP(-T65*$D65^(-U65)))))),"")</f>
        <v/>
      </c>
      <c r="N65" s="15" t="str">
        <f aca="false">IFERROR(IF($C65="Pinus sylvestris",IF(OR($D65="",$E65="",$F65=""),"",1.3+EXP((V65+W65*$E65)*EXP(-(X65+Y65*$F65)*$D65^(-(Z65+AA65*$E65))))),IF($C65="Pinus nigra",IF(OR($D65="",$E65="",$F65="",$J65=""),"",1.3+EXP((V65+W65*$J65)*EXP(-(X65+Y65*$F65)*$D65^(-(Z65+AA65*$E65))))),IF($C65="Pinus pinaster",IF(OR($D65="",$E65="",$H65="",$F65=""),"",(V65+W65*$E65)/(1+(X65+Y65*$H65)*EXP(-(Z65+AA65*$F65)*$D65))),IF($C65="Quercus pyrenaica",IF(OR($D65="",$E65="",$G65="",$J65=""),"",(V65+W65*$E65)*EXP((X65+Y65*$G65)*EXP(-(Z65+AA65*$J65)*$D65))),"")))),"")</f>
        <v/>
      </c>
      <c r="O65" s="15" t="str">
        <f aca="false">IFERROR(IF($C65="Pinus sylvestris",IF(OR($D65="",$H65="",$I65="",$J65=""),"",1.3+EXP((AB65+AC65*$H65)*EXP(-(AD65+AE65*$I65)*$D65^(-(AF65+AG65*$J65))))),IF($C65="Pinus nigra",IF(OR($D65="",$H65="",$L65="",$I65=""),"",1.3+EXP((AB65+AC65*$H65)*EXP(-(AD65+AE65*$L65)*$D65^(-(AF65+AG65*$I65))))),IF($C65="Pinus pinaster",IF(OR($D65="",$I65="",$K65=""),"",(AB65+AC65*$I65)/(1+(AD65+AE65*$K65)*EXP(-(AF65+AG65*$I65)*$D65))),IF($C65="Quercus pyrenaica",IF(OR($D65="",$L65="",$J65="",$I65=""),"",(AB65+AC65*$L65)*EXP((AD65+AE65*$J65)*EXP(-(AF65+AG65*$I65)*$D65))),"")))),"")</f>
        <v/>
      </c>
      <c r="P65" s="15" t="str">
        <f aca="false">IFERROR(IF(OR($C65="",$D65="",$E65="",$G65=""),"",1.3+(AH65+AI65*$E65-AJ65*$G65)*EXP(-AK65/SQRT($D65))),"")</f>
        <v/>
      </c>
      <c r="Q65" s="15" t="str">
        <f aca="false">IFERROR(IF(OR($C65="",$D65=""),"",1.3+AL65*(LN(1+$D65))^AM65),"")</f>
        <v/>
      </c>
      <c r="S65" s="1" t="str">
        <f aca="false">IF($C65="","",VLOOKUP($C65,coefs!$A:$V,2,FALSE()))</f>
        <v/>
      </c>
      <c r="T65" s="1" t="str">
        <f aca="false">IF($C65="","",VLOOKUP($C65,coefs!$A:$V,3,FALSE()))</f>
        <v/>
      </c>
      <c r="U65" s="1" t="str">
        <f aca="false">IF($C65="","",VLOOKUP($C65,coefs!$A:$V,4,FALSE()))</f>
        <v/>
      </c>
      <c r="V65" s="1" t="str">
        <f aca="false">IF($C65="","",VLOOKUP($C65,coefs!$A:$V,5,FALSE()))</f>
        <v/>
      </c>
      <c r="W65" s="1" t="str">
        <f aca="false">IF($C65="","",VLOOKUP($C65,coefs!$A:$V,6,FALSE()))</f>
        <v/>
      </c>
      <c r="X65" s="1" t="str">
        <f aca="false">IF($C65="","",VLOOKUP($C65,coefs!$A:$V,7,FALSE()))</f>
        <v/>
      </c>
      <c r="Y65" s="1" t="str">
        <f aca="false">IF($C65="","",VLOOKUP($C65,coefs!$A:$V,8,FALSE()))</f>
        <v/>
      </c>
      <c r="Z65" s="1" t="str">
        <f aca="false">IF($C65="","",VLOOKUP($C65,coefs!$A:$V,9,FALSE()))</f>
        <v/>
      </c>
      <c r="AA65" s="1" t="str">
        <f aca="false">IF($C65="","",VLOOKUP($C65,coefs!$A:$V,10,FALSE()))</f>
        <v/>
      </c>
      <c r="AB65" s="1" t="str">
        <f aca="false">IF($C65="","",VLOOKUP($C65,coefs!$A:$V,11,FALSE()))</f>
        <v/>
      </c>
      <c r="AC65" s="1" t="str">
        <f aca="false">IF($C65="","",VLOOKUP($C65,coefs!$A:$V,12,FALSE()))</f>
        <v/>
      </c>
      <c r="AD65" s="1" t="str">
        <f aca="false">IF($C65="","",VLOOKUP($C65,coefs!$A:$V,13,FALSE()))</f>
        <v/>
      </c>
      <c r="AE65" s="1" t="str">
        <f aca="false">IF($C65="","",VLOOKUP($C65,coefs!$A:$V,14,FALSE()))</f>
        <v/>
      </c>
      <c r="AF65" s="1" t="str">
        <f aca="false">IF($C65="","",VLOOKUP($C65,coefs!$A:$V,15,FALSE()))</f>
        <v/>
      </c>
      <c r="AG65" s="1" t="str">
        <f aca="false">IF($C65="","",VLOOKUP($C65,coefs!$A:$V,16,FALSE()))</f>
        <v/>
      </c>
      <c r="AH65" s="1" t="str">
        <f aca="false">IF($C65="","",VLOOKUP($C65,coefs!$A:$V,17,FALSE()))</f>
        <v/>
      </c>
      <c r="AI65" s="1" t="str">
        <f aca="false">IF($C65="","",VLOOKUP($C65,coefs!$A:$V,18,FALSE()))</f>
        <v/>
      </c>
      <c r="AJ65" s="1" t="str">
        <f aca="false">IF($C65="","",VLOOKUP($C65,coefs!$A:$V,19,FALSE()))</f>
        <v/>
      </c>
      <c r="AK65" s="1" t="str">
        <f aca="false">IF($C65="","",VLOOKUP($C65,coefs!$A:$V,20,FALSE()))</f>
        <v/>
      </c>
      <c r="AL65" s="1" t="str">
        <f aca="false">IF($C65="","",VLOOKUP($C65,coefs!$A:$V,21,FALSE()))</f>
        <v/>
      </c>
      <c r="AM65" s="1" t="str">
        <f aca="false">IF($C65="","",VLOOKUP($C65,coefs!$A:$V,22,FALSE()))</f>
        <v/>
      </c>
    </row>
    <row r="66" customFormat="false" ht="15" hidden="false" customHeight="true" outlineLevel="0" collapsed="false">
      <c r="A66" s="14"/>
      <c r="B66" s="14"/>
      <c r="C66" s="14"/>
      <c r="D66" s="15"/>
      <c r="E66" s="16"/>
      <c r="F66" s="16"/>
      <c r="G66" s="16"/>
      <c r="H66" s="17"/>
      <c r="I66" s="16"/>
      <c r="J66" s="16"/>
      <c r="K66" s="17"/>
      <c r="L66" s="17"/>
      <c r="M66" s="15" t="str">
        <f aca="false">IFERROR(IF(OR($C66="",$D66=""),"",IF($C66="Pinus pinaster",S66/(1+T66*EXP(-U66*$D66)),IF($C66="Quercus pyrenaica",S66*EXP(T66*EXP(-U66*$D66)),1.3+EXP(S66*EXP(-T66*$D66^(-U66)))))),"")</f>
        <v/>
      </c>
      <c r="N66" s="15" t="str">
        <f aca="false">IFERROR(IF($C66="Pinus sylvestris",IF(OR($D66="",$E66="",$F66=""),"",1.3+EXP((V66+W66*$E66)*EXP(-(X66+Y66*$F66)*$D66^(-(Z66+AA66*$E66))))),IF($C66="Pinus nigra",IF(OR($D66="",$E66="",$F66="",$J66=""),"",1.3+EXP((V66+W66*$J66)*EXP(-(X66+Y66*$F66)*$D66^(-(Z66+AA66*$E66))))),IF($C66="Pinus pinaster",IF(OR($D66="",$E66="",$H66="",$F66=""),"",(V66+W66*$E66)/(1+(X66+Y66*$H66)*EXP(-(Z66+AA66*$F66)*$D66))),IF($C66="Quercus pyrenaica",IF(OR($D66="",$E66="",$G66="",$J66=""),"",(V66+W66*$E66)*EXP((X66+Y66*$G66)*EXP(-(Z66+AA66*$J66)*$D66))),"")))),"")</f>
        <v/>
      </c>
      <c r="O66" s="15" t="str">
        <f aca="false">IFERROR(IF($C66="Pinus sylvestris",IF(OR($D66="",$H66="",$I66="",$J66=""),"",1.3+EXP((AB66+AC66*$H66)*EXP(-(AD66+AE66*$I66)*$D66^(-(AF66+AG66*$J66))))),IF($C66="Pinus nigra",IF(OR($D66="",$H66="",$L66="",$I66=""),"",1.3+EXP((AB66+AC66*$H66)*EXP(-(AD66+AE66*$L66)*$D66^(-(AF66+AG66*$I66))))),IF($C66="Pinus pinaster",IF(OR($D66="",$I66="",$K66=""),"",(AB66+AC66*$I66)/(1+(AD66+AE66*$K66)*EXP(-(AF66+AG66*$I66)*$D66))),IF($C66="Quercus pyrenaica",IF(OR($D66="",$L66="",$J66="",$I66=""),"",(AB66+AC66*$L66)*EXP((AD66+AE66*$J66)*EXP(-(AF66+AG66*$I66)*$D66))),"")))),"")</f>
        <v/>
      </c>
      <c r="P66" s="15" t="str">
        <f aca="false">IFERROR(IF(OR($C66="",$D66="",$E66="",$G66=""),"",1.3+(AH66+AI66*$E66-AJ66*$G66)*EXP(-AK66/SQRT($D66))),"")</f>
        <v/>
      </c>
      <c r="Q66" s="15" t="str">
        <f aca="false">IFERROR(IF(OR($C66="",$D66=""),"",1.3+AL66*(LN(1+$D66))^AM66),"")</f>
        <v/>
      </c>
      <c r="S66" s="1" t="str">
        <f aca="false">IF($C66="","",VLOOKUP($C66,coefs!$A:$V,2,FALSE()))</f>
        <v/>
      </c>
      <c r="T66" s="1" t="str">
        <f aca="false">IF($C66="","",VLOOKUP($C66,coefs!$A:$V,3,FALSE()))</f>
        <v/>
      </c>
      <c r="U66" s="1" t="str">
        <f aca="false">IF($C66="","",VLOOKUP($C66,coefs!$A:$V,4,FALSE()))</f>
        <v/>
      </c>
      <c r="V66" s="1" t="str">
        <f aca="false">IF($C66="","",VLOOKUP($C66,coefs!$A:$V,5,FALSE()))</f>
        <v/>
      </c>
      <c r="W66" s="1" t="str">
        <f aca="false">IF($C66="","",VLOOKUP($C66,coefs!$A:$V,6,FALSE()))</f>
        <v/>
      </c>
      <c r="X66" s="1" t="str">
        <f aca="false">IF($C66="","",VLOOKUP($C66,coefs!$A:$V,7,FALSE()))</f>
        <v/>
      </c>
      <c r="Y66" s="1" t="str">
        <f aca="false">IF($C66="","",VLOOKUP($C66,coefs!$A:$V,8,FALSE()))</f>
        <v/>
      </c>
      <c r="Z66" s="1" t="str">
        <f aca="false">IF($C66="","",VLOOKUP($C66,coefs!$A:$V,9,FALSE()))</f>
        <v/>
      </c>
      <c r="AA66" s="1" t="str">
        <f aca="false">IF($C66="","",VLOOKUP($C66,coefs!$A:$V,10,FALSE()))</f>
        <v/>
      </c>
      <c r="AB66" s="1" t="str">
        <f aca="false">IF($C66="","",VLOOKUP($C66,coefs!$A:$V,11,FALSE()))</f>
        <v/>
      </c>
      <c r="AC66" s="1" t="str">
        <f aca="false">IF($C66="","",VLOOKUP($C66,coefs!$A:$V,12,FALSE()))</f>
        <v/>
      </c>
      <c r="AD66" s="1" t="str">
        <f aca="false">IF($C66="","",VLOOKUP($C66,coefs!$A:$V,13,FALSE()))</f>
        <v/>
      </c>
      <c r="AE66" s="1" t="str">
        <f aca="false">IF($C66="","",VLOOKUP($C66,coefs!$A:$V,14,FALSE()))</f>
        <v/>
      </c>
      <c r="AF66" s="1" t="str">
        <f aca="false">IF($C66="","",VLOOKUP($C66,coefs!$A:$V,15,FALSE()))</f>
        <v/>
      </c>
      <c r="AG66" s="1" t="str">
        <f aca="false">IF($C66="","",VLOOKUP($C66,coefs!$A:$V,16,FALSE()))</f>
        <v/>
      </c>
      <c r="AH66" s="1" t="str">
        <f aca="false">IF($C66="","",VLOOKUP($C66,coefs!$A:$V,17,FALSE()))</f>
        <v/>
      </c>
      <c r="AI66" s="1" t="str">
        <f aca="false">IF($C66="","",VLOOKUP($C66,coefs!$A:$V,18,FALSE()))</f>
        <v/>
      </c>
      <c r="AJ66" s="1" t="str">
        <f aca="false">IF($C66="","",VLOOKUP($C66,coefs!$A:$V,19,FALSE()))</f>
        <v/>
      </c>
      <c r="AK66" s="1" t="str">
        <f aca="false">IF($C66="","",VLOOKUP($C66,coefs!$A:$V,20,FALSE()))</f>
        <v/>
      </c>
      <c r="AL66" s="1" t="str">
        <f aca="false">IF($C66="","",VLOOKUP($C66,coefs!$A:$V,21,FALSE()))</f>
        <v/>
      </c>
      <c r="AM66" s="1" t="str">
        <f aca="false">IF($C66="","",VLOOKUP($C66,coefs!$A:$V,22,FALSE()))</f>
        <v/>
      </c>
    </row>
    <row r="67" customFormat="false" ht="15" hidden="false" customHeight="true" outlineLevel="0" collapsed="false">
      <c r="A67" s="14"/>
      <c r="B67" s="14"/>
      <c r="C67" s="14"/>
      <c r="D67" s="15"/>
      <c r="E67" s="16"/>
      <c r="F67" s="16"/>
      <c r="G67" s="16"/>
      <c r="H67" s="17"/>
      <c r="I67" s="16"/>
      <c r="J67" s="16"/>
      <c r="K67" s="17"/>
      <c r="L67" s="17"/>
      <c r="M67" s="15" t="str">
        <f aca="false">IFERROR(IF(OR($C67="",$D67=""),"",IF($C67="Pinus pinaster",S67/(1+T67*EXP(-U67*$D67)),IF($C67="Quercus pyrenaica",S67*EXP(T67*EXP(-U67*$D67)),1.3+EXP(S67*EXP(-T67*$D67^(-U67)))))),"")</f>
        <v/>
      </c>
      <c r="N67" s="15" t="str">
        <f aca="false">IFERROR(IF($C67="Pinus sylvestris",IF(OR($D67="",$E67="",$F67=""),"",1.3+EXP((V67+W67*$E67)*EXP(-(X67+Y67*$F67)*$D67^(-(Z67+AA67*$E67))))),IF($C67="Pinus nigra",IF(OR($D67="",$E67="",$F67="",$J67=""),"",1.3+EXP((V67+W67*$J67)*EXP(-(X67+Y67*$F67)*$D67^(-(Z67+AA67*$E67))))),IF($C67="Pinus pinaster",IF(OR($D67="",$E67="",$H67="",$F67=""),"",(V67+W67*$E67)/(1+(X67+Y67*$H67)*EXP(-(Z67+AA67*$F67)*$D67))),IF($C67="Quercus pyrenaica",IF(OR($D67="",$E67="",$G67="",$J67=""),"",(V67+W67*$E67)*EXP((X67+Y67*$G67)*EXP(-(Z67+AA67*$J67)*$D67))),"")))),"")</f>
        <v/>
      </c>
      <c r="O67" s="15" t="str">
        <f aca="false">IFERROR(IF($C67="Pinus sylvestris",IF(OR($D67="",$H67="",$I67="",$J67=""),"",1.3+EXP((AB67+AC67*$H67)*EXP(-(AD67+AE67*$I67)*$D67^(-(AF67+AG67*$J67))))),IF($C67="Pinus nigra",IF(OR($D67="",$H67="",$L67="",$I67=""),"",1.3+EXP((AB67+AC67*$H67)*EXP(-(AD67+AE67*$L67)*$D67^(-(AF67+AG67*$I67))))),IF($C67="Pinus pinaster",IF(OR($D67="",$I67="",$K67=""),"",(AB67+AC67*$I67)/(1+(AD67+AE67*$K67)*EXP(-(AF67+AG67*$I67)*$D67))),IF($C67="Quercus pyrenaica",IF(OR($D67="",$L67="",$J67="",$I67=""),"",(AB67+AC67*$L67)*EXP((AD67+AE67*$J67)*EXP(-(AF67+AG67*$I67)*$D67))),"")))),"")</f>
        <v/>
      </c>
      <c r="P67" s="15" t="str">
        <f aca="false">IFERROR(IF(OR($C67="",$D67="",$E67="",$G67=""),"",1.3+(AH67+AI67*$E67-AJ67*$G67)*EXP(-AK67/SQRT($D67))),"")</f>
        <v/>
      </c>
      <c r="Q67" s="15" t="str">
        <f aca="false">IFERROR(IF(OR($C67="",$D67=""),"",1.3+AL67*(LN(1+$D67))^AM67),"")</f>
        <v/>
      </c>
      <c r="S67" s="1" t="str">
        <f aca="false">IF($C67="","",VLOOKUP($C67,coefs!$A:$V,2,FALSE()))</f>
        <v/>
      </c>
      <c r="T67" s="1" t="str">
        <f aca="false">IF($C67="","",VLOOKUP($C67,coefs!$A:$V,3,FALSE()))</f>
        <v/>
      </c>
      <c r="U67" s="1" t="str">
        <f aca="false">IF($C67="","",VLOOKUP($C67,coefs!$A:$V,4,FALSE()))</f>
        <v/>
      </c>
      <c r="V67" s="1" t="str">
        <f aca="false">IF($C67="","",VLOOKUP($C67,coefs!$A:$V,5,FALSE()))</f>
        <v/>
      </c>
      <c r="W67" s="1" t="str">
        <f aca="false">IF($C67="","",VLOOKUP($C67,coefs!$A:$V,6,FALSE()))</f>
        <v/>
      </c>
      <c r="X67" s="1" t="str">
        <f aca="false">IF($C67="","",VLOOKUP($C67,coefs!$A:$V,7,FALSE()))</f>
        <v/>
      </c>
      <c r="Y67" s="1" t="str">
        <f aca="false">IF($C67="","",VLOOKUP($C67,coefs!$A:$V,8,FALSE()))</f>
        <v/>
      </c>
      <c r="Z67" s="1" t="str">
        <f aca="false">IF($C67="","",VLOOKUP($C67,coefs!$A:$V,9,FALSE()))</f>
        <v/>
      </c>
      <c r="AA67" s="1" t="str">
        <f aca="false">IF($C67="","",VLOOKUP($C67,coefs!$A:$V,10,FALSE()))</f>
        <v/>
      </c>
      <c r="AB67" s="1" t="str">
        <f aca="false">IF($C67="","",VLOOKUP($C67,coefs!$A:$V,11,FALSE()))</f>
        <v/>
      </c>
      <c r="AC67" s="1" t="str">
        <f aca="false">IF($C67="","",VLOOKUP($C67,coefs!$A:$V,12,FALSE()))</f>
        <v/>
      </c>
      <c r="AD67" s="1" t="str">
        <f aca="false">IF($C67="","",VLOOKUP($C67,coefs!$A:$V,13,FALSE()))</f>
        <v/>
      </c>
      <c r="AE67" s="1" t="str">
        <f aca="false">IF($C67="","",VLOOKUP($C67,coefs!$A:$V,14,FALSE()))</f>
        <v/>
      </c>
      <c r="AF67" s="1" t="str">
        <f aca="false">IF($C67="","",VLOOKUP($C67,coefs!$A:$V,15,FALSE()))</f>
        <v/>
      </c>
      <c r="AG67" s="1" t="str">
        <f aca="false">IF($C67="","",VLOOKUP($C67,coefs!$A:$V,16,FALSE()))</f>
        <v/>
      </c>
      <c r="AH67" s="1" t="str">
        <f aca="false">IF($C67="","",VLOOKUP($C67,coefs!$A:$V,17,FALSE()))</f>
        <v/>
      </c>
      <c r="AI67" s="1" t="str">
        <f aca="false">IF($C67="","",VLOOKUP($C67,coefs!$A:$V,18,FALSE()))</f>
        <v/>
      </c>
      <c r="AJ67" s="1" t="str">
        <f aca="false">IF($C67="","",VLOOKUP($C67,coefs!$A:$V,19,FALSE()))</f>
        <v/>
      </c>
      <c r="AK67" s="1" t="str">
        <f aca="false">IF($C67="","",VLOOKUP($C67,coefs!$A:$V,20,FALSE()))</f>
        <v/>
      </c>
      <c r="AL67" s="1" t="str">
        <f aca="false">IF($C67="","",VLOOKUP($C67,coefs!$A:$V,21,FALSE()))</f>
        <v/>
      </c>
      <c r="AM67" s="1" t="str">
        <f aca="false">IF($C67="","",VLOOKUP($C67,coefs!$A:$V,22,FALSE()))</f>
        <v/>
      </c>
    </row>
    <row r="68" customFormat="false" ht="15" hidden="false" customHeight="true" outlineLevel="0" collapsed="false">
      <c r="A68" s="14"/>
      <c r="B68" s="14"/>
      <c r="C68" s="14"/>
      <c r="D68" s="15"/>
      <c r="E68" s="16"/>
      <c r="F68" s="16"/>
      <c r="G68" s="16"/>
      <c r="H68" s="17"/>
      <c r="I68" s="16"/>
      <c r="J68" s="16"/>
      <c r="K68" s="17"/>
      <c r="L68" s="17"/>
      <c r="M68" s="15" t="str">
        <f aca="false">IFERROR(IF(OR($C68="",$D68=""),"",IF($C68="Pinus pinaster",S68/(1+T68*EXP(-U68*$D68)),IF($C68="Quercus pyrenaica",S68*EXP(T68*EXP(-U68*$D68)),1.3+EXP(S68*EXP(-T68*$D68^(-U68)))))),"")</f>
        <v/>
      </c>
      <c r="N68" s="15" t="str">
        <f aca="false">IFERROR(IF($C68="Pinus sylvestris",IF(OR($D68="",$E68="",$F68=""),"",1.3+EXP((V68+W68*$E68)*EXP(-(X68+Y68*$F68)*$D68^(-(Z68+AA68*$E68))))),IF($C68="Pinus nigra",IF(OR($D68="",$E68="",$F68="",$J68=""),"",1.3+EXP((V68+W68*$J68)*EXP(-(X68+Y68*$F68)*$D68^(-(Z68+AA68*$E68))))),IF($C68="Pinus pinaster",IF(OR($D68="",$E68="",$H68="",$F68=""),"",(V68+W68*$E68)/(1+(X68+Y68*$H68)*EXP(-(Z68+AA68*$F68)*$D68))),IF($C68="Quercus pyrenaica",IF(OR($D68="",$E68="",$G68="",$J68=""),"",(V68+W68*$E68)*EXP((X68+Y68*$G68)*EXP(-(Z68+AA68*$J68)*$D68))),"")))),"")</f>
        <v/>
      </c>
      <c r="O68" s="15" t="str">
        <f aca="false">IFERROR(IF($C68="Pinus sylvestris",IF(OR($D68="",$H68="",$I68="",$J68=""),"",1.3+EXP((AB68+AC68*$H68)*EXP(-(AD68+AE68*$I68)*$D68^(-(AF68+AG68*$J68))))),IF($C68="Pinus nigra",IF(OR($D68="",$H68="",$L68="",$I68=""),"",1.3+EXP((AB68+AC68*$H68)*EXP(-(AD68+AE68*$L68)*$D68^(-(AF68+AG68*$I68))))),IF($C68="Pinus pinaster",IF(OR($D68="",$I68="",$K68=""),"",(AB68+AC68*$I68)/(1+(AD68+AE68*$K68)*EXP(-(AF68+AG68*$I68)*$D68))),IF($C68="Quercus pyrenaica",IF(OR($D68="",$L68="",$J68="",$I68=""),"",(AB68+AC68*$L68)*EXP((AD68+AE68*$J68)*EXP(-(AF68+AG68*$I68)*$D68))),"")))),"")</f>
        <v/>
      </c>
      <c r="P68" s="15" t="str">
        <f aca="false">IFERROR(IF(OR($C68="",$D68="",$E68="",$G68=""),"",1.3+(AH68+AI68*$E68-AJ68*$G68)*EXP(-AK68/SQRT($D68))),"")</f>
        <v/>
      </c>
      <c r="Q68" s="15" t="str">
        <f aca="false">IFERROR(IF(OR($C68="",$D68=""),"",1.3+AL68*(LN(1+$D68))^AM68),"")</f>
        <v/>
      </c>
      <c r="S68" s="1" t="str">
        <f aca="false">IF($C68="","",VLOOKUP($C68,coefs!$A:$V,2,FALSE()))</f>
        <v/>
      </c>
      <c r="T68" s="1" t="str">
        <f aca="false">IF($C68="","",VLOOKUP($C68,coefs!$A:$V,3,FALSE()))</f>
        <v/>
      </c>
      <c r="U68" s="1" t="str">
        <f aca="false">IF($C68="","",VLOOKUP($C68,coefs!$A:$V,4,FALSE()))</f>
        <v/>
      </c>
      <c r="V68" s="1" t="str">
        <f aca="false">IF($C68="","",VLOOKUP($C68,coefs!$A:$V,5,FALSE()))</f>
        <v/>
      </c>
      <c r="W68" s="1" t="str">
        <f aca="false">IF($C68="","",VLOOKUP($C68,coefs!$A:$V,6,FALSE()))</f>
        <v/>
      </c>
      <c r="X68" s="1" t="str">
        <f aca="false">IF($C68="","",VLOOKUP($C68,coefs!$A:$V,7,FALSE()))</f>
        <v/>
      </c>
      <c r="Y68" s="1" t="str">
        <f aca="false">IF($C68="","",VLOOKUP($C68,coefs!$A:$V,8,FALSE()))</f>
        <v/>
      </c>
      <c r="Z68" s="1" t="str">
        <f aca="false">IF($C68="","",VLOOKUP($C68,coefs!$A:$V,9,FALSE()))</f>
        <v/>
      </c>
      <c r="AA68" s="1" t="str">
        <f aca="false">IF($C68="","",VLOOKUP($C68,coefs!$A:$V,10,FALSE()))</f>
        <v/>
      </c>
      <c r="AB68" s="1" t="str">
        <f aca="false">IF($C68="","",VLOOKUP($C68,coefs!$A:$V,11,FALSE()))</f>
        <v/>
      </c>
      <c r="AC68" s="1" t="str">
        <f aca="false">IF($C68="","",VLOOKUP($C68,coefs!$A:$V,12,FALSE()))</f>
        <v/>
      </c>
      <c r="AD68" s="1" t="str">
        <f aca="false">IF($C68="","",VLOOKUP($C68,coefs!$A:$V,13,FALSE()))</f>
        <v/>
      </c>
      <c r="AE68" s="1" t="str">
        <f aca="false">IF($C68="","",VLOOKUP($C68,coefs!$A:$V,14,FALSE()))</f>
        <v/>
      </c>
      <c r="AF68" s="1" t="str">
        <f aca="false">IF($C68="","",VLOOKUP($C68,coefs!$A:$V,15,FALSE()))</f>
        <v/>
      </c>
      <c r="AG68" s="1" t="str">
        <f aca="false">IF($C68="","",VLOOKUP($C68,coefs!$A:$V,16,FALSE()))</f>
        <v/>
      </c>
      <c r="AH68" s="1" t="str">
        <f aca="false">IF($C68="","",VLOOKUP($C68,coefs!$A:$V,17,FALSE()))</f>
        <v/>
      </c>
      <c r="AI68" s="1" t="str">
        <f aca="false">IF($C68="","",VLOOKUP($C68,coefs!$A:$V,18,FALSE()))</f>
        <v/>
      </c>
      <c r="AJ68" s="1" t="str">
        <f aca="false">IF($C68="","",VLOOKUP($C68,coefs!$A:$V,19,FALSE()))</f>
        <v/>
      </c>
      <c r="AK68" s="1" t="str">
        <f aca="false">IF($C68="","",VLOOKUP($C68,coefs!$A:$V,20,FALSE()))</f>
        <v/>
      </c>
      <c r="AL68" s="1" t="str">
        <f aca="false">IF($C68="","",VLOOKUP($C68,coefs!$A:$V,21,FALSE()))</f>
        <v/>
      </c>
      <c r="AM68" s="1" t="str">
        <f aca="false">IF($C68="","",VLOOKUP($C68,coefs!$A:$V,22,FALSE()))</f>
        <v/>
      </c>
    </row>
    <row r="69" customFormat="false" ht="15" hidden="false" customHeight="true" outlineLevel="0" collapsed="false">
      <c r="A69" s="14"/>
      <c r="B69" s="14"/>
      <c r="C69" s="14"/>
      <c r="D69" s="15"/>
      <c r="E69" s="16"/>
      <c r="F69" s="16"/>
      <c r="G69" s="16"/>
      <c r="H69" s="17"/>
      <c r="I69" s="16"/>
      <c r="J69" s="16"/>
      <c r="K69" s="17"/>
      <c r="L69" s="17"/>
      <c r="M69" s="15" t="str">
        <f aca="false">IFERROR(IF(OR($C69="",$D69=""),"",IF($C69="Pinus pinaster",S69/(1+T69*EXP(-U69*$D69)),IF($C69="Quercus pyrenaica",S69*EXP(T69*EXP(-U69*$D69)),1.3+EXP(S69*EXP(-T69*$D69^(-U69)))))),"")</f>
        <v/>
      </c>
      <c r="N69" s="15" t="str">
        <f aca="false">IFERROR(IF($C69="Pinus sylvestris",IF(OR($D69="",$E69="",$F69=""),"",1.3+EXP((V69+W69*$E69)*EXP(-(X69+Y69*$F69)*$D69^(-(Z69+AA69*$E69))))),IF($C69="Pinus nigra",IF(OR($D69="",$E69="",$F69="",$J69=""),"",1.3+EXP((V69+W69*$J69)*EXP(-(X69+Y69*$F69)*$D69^(-(Z69+AA69*$E69))))),IF($C69="Pinus pinaster",IF(OR($D69="",$E69="",$H69="",$F69=""),"",(V69+W69*$E69)/(1+(X69+Y69*$H69)*EXP(-(Z69+AA69*$F69)*$D69))),IF($C69="Quercus pyrenaica",IF(OR($D69="",$E69="",$G69="",$J69=""),"",(V69+W69*$E69)*EXP((X69+Y69*$G69)*EXP(-(Z69+AA69*$J69)*$D69))),"")))),"")</f>
        <v/>
      </c>
      <c r="O69" s="15" t="str">
        <f aca="false">IFERROR(IF($C69="Pinus sylvestris",IF(OR($D69="",$H69="",$I69="",$J69=""),"",1.3+EXP((AB69+AC69*$H69)*EXP(-(AD69+AE69*$I69)*$D69^(-(AF69+AG69*$J69))))),IF($C69="Pinus nigra",IF(OR($D69="",$H69="",$L69="",$I69=""),"",1.3+EXP((AB69+AC69*$H69)*EXP(-(AD69+AE69*$L69)*$D69^(-(AF69+AG69*$I69))))),IF($C69="Pinus pinaster",IF(OR($D69="",$I69="",$K69=""),"",(AB69+AC69*$I69)/(1+(AD69+AE69*$K69)*EXP(-(AF69+AG69*$I69)*$D69))),IF($C69="Quercus pyrenaica",IF(OR($D69="",$L69="",$J69="",$I69=""),"",(AB69+AC69*$L69)*EXP((AD69+AE69*$J69)*EXP(-(AF69+AG69*$I69)*$D69))),"")))),"")</f>
        <v/>
      </c>
      <c r="P69" s="15" t="str">
        <f aca="false">IFERROR(IF(OR($C69="",$D69="",$E69="",$G69=""),"",1.3+(AH69+AI69*$E69-AJ69*$G69)*EXP(-AK69/SQRT($D69))),"")</f>
        <v/>
      </c>
      <c r="Q69" s="15" t="str">
        <f aca="false">IFERROR(IF(OR($C69="",$D69=""),"",1.3+AL69*(LN(1+$D69))^AM69),"")</f>
        <v/>
      </c>
      <c r="S69" s="1" t="str">
        <f aca="false">IF($C69="","",VLOOKUP($C69,coefs!$A:$V,2,FALSE()))</f>
        <v/>
      </c>
      <c r="T69" s="1" t="str">
        <f aca="false">IF($C69="","",VLOOKUP($C69,coefs!$A:$V,3,FALSE()))</f>
        <v/>
      </c>
      <c r="U69" s="1" t="str">
        <f aca="false">IF($C69="","",VLOOKUP($C69,coefs!$A:$V,4,FALSE()))</f>
        <v/>
      </c>
      <c r="V69" s="1" t="str">
        <f aca="false">IF($C69="","",VLOOKUP($C69,coefs!$A:$V,5,FALSE()))</f>
        <v/>
      </c>
      <c r="W69" s="1" t="str">
        <f aca="false">IF($C69="","",VLOOKUP($C69,coefs!$A:$V,6,FALSE()))</f>
        <v/>
      </c>
      <c r="X69" s="1" t="str">
        <f aca="false">IF($C69="","",VLOOKUP($C69,coefs!$A:$V,7,FALSE()))</f>
        <v/>
      </c>
      <c r="Y69" s="1" t="str">
        <f aca="false">IF($C69="","",VLOOKUP($C69,coefs!$A:$V,8,FALSE()))</f>
        <v/>
      </c>
      <c r="Z69" s="1" t="str">
        <f aca="false">IF($C69="","",VLOOKUP($C69,coefs!$A:$V,9,FALSE()))</f>
        <v/>
      </c>
      <c r="AA69" s="1" t="str">
        <f aca="false">IF($C69="","",VLOOKUP($C69,coefs!$A:$V,10,FALSE()))</f>
        <v/>
      </c>
      <c r="AB69" s="1" t="str">
        <f aca="false">IF($C69="","",VLOOKUP($C69,coefs!$A:$V,11,FALSE()))</f>
        <v/>
      </c>
      <c r="AC69" s="1" t="str">
        <f aca="false">IF($C69="","",VLOOKUP($C69,coefs!$A:$V,12,FALSE()))</f>
        <v/>
      </c>
      <c r="AD69" s="1" t="str">
        <f aca="false">IF($C69="","",VLOOKUP($C69,coefs!$A:$V,13,FALSE()))</f>
        <v/>
      </c>
      <c r="AE69" s="1" t="str">
        <f aca="false">IF($C69="","",VLOOKUP($C69,coefs!$A:$V,14,FALSE()))</f>
        <v/>
      </c>
      <c r="AF69" s="1" t="str">
        <f aca="false">IF($C69="","",VLOOKUP($C69,coefs!$A:$V,15,FALSE()))</f>
        <v/>
      </c>
      <c r="AG69" s="1" t="str">
        <f aca="false">IF($C69="","",VLOOKUP($C69,coefs!$A:$V,16,FALSE()))</f>
        <v/>
      </c>
      <c r="AH69" s="1" t="str">
        <f aca="false">IF($C69="","",VLOOKUP($C69,coefs!$A:$V,17,FALSE()))</f>
        <v/>
      </c>
      <c r="AI69" s="1" t="str">
        <f aca="false">IF($C69="","",VLOOKUP($C69,coefs!$A:$V,18,FALSE()))</f>
        <v/>
      </c>
      <c r="AJ69" s="1" t="str">
        <f aca="false">IF($C69="","",VLOOKUP($C69,coefs!$A:$V,19,FALSE()))</f>
        <v/>
      </c>
      <c r="AK69" s="1" t="str">
        <f aca="false">IF($C69="","",VLOOKUP($C69,coefs!$A:$V,20,FALSE()))</f>
        <v/>
      </c>
      <c r="AL69" s="1" t="str">
        <f aca="false">IF($C69="","",VLOOKUP($C69,coefs!$A:$V,21,FALSE()))</f>
        <v/>
      </c>
      <c r="AM69" s="1" t="str">
        <f aca="false">IF($C69="","",VLOOKUP($C69,coefs!$A:$V,22,FALSE()))</f>
        <v/>
      </c>
    </row>
    <row r="70" customFormat="false" ht="15" hidden="false" customHeight="true" outlineLevel="0" collapsed="false">
      <c r="A70" s="14"/>
      <c r="B70" s="14"/>
      <c r="C70" s="14"/>
      <c r="D70" s="15"/>
      <c r="E70" s="16"/>
      <c r="F70" s="16"/>
      <c r="G70" s="16"/>
      <c r="H70" s="17"/>
      <c r="I70" s="16"/>
      <c r="J70" s="16"/>
      <c r="K70" s="17"/>
      <c r="L70" s="17"/>
      <c r="M70" s="15" t="str">
        <f aca="false">IFERROR(IF(OR($C70="",$D70=""),"",IF($C70="Pinus pinaster",S70/(1+T70*EXP(-U70*$D70)),IF($C70="Quercus pyrenaica",S70*EXP(T70*EXP(-U70*$D70)),1.3+EXP(S70*EXP(-T70*$D70^(-U70)))))),"")</f>
        <v/>
      </c>
      <c r="N70" s="15" t="str">
        <f aca="false">IFERROR(IF($C70="Pinus sylvestris",IF(OR($D70="",$E70="",$F70=""),"",1.3+EXP((V70+W70*$E70)*EXP(-(X70+Y70*$F70)*$D70^(-(Z70+AA70*$E70))))),IF($C70="Pinus nigra",IF(OR($D70="",$E70="",$F70="",$J70=""),"",1.3+EXP((V70+W70*$J70)*EXP(-(X70+Y70*$F70)*$D70^(-(Z70+AA70*$E70))))),IF($C70="Pinus pinaster",IF(OR($D70="",$E70="",$H70="",$F70=""),"",(V70+W70*$E70)/(1+(X70+Y70*$H70)*EXP(-(Z70+AA70*$F70)*$D70))),IF($C70="Quercus pyrenaica",IF(OR($D70="",$E70="",$G70="",$J70=""),"",(V70+W70*$E70)*EXP((X70+Y70*$G70)*EXP(-(Z70+AA70*$J70)*$D70))),"")))),"")</f>
        <v/>
      </c>
      <c r="O70" s="15" t="str">
        <f aca="false">IFERROR(IF($C70="Pinus sylvestris",IF(OR($D70="",$H70="",$I70="",$J70=""),"",1.3+EXP((AB70+AC70*$H70)*EXP(-(AD70+AE70*$I70)*$D70^(-(AF70+AG70*$J70))))),IF($C70="Pinus nigra",IF(OR($D70="",$H70="",$L70="",$I70=""),"",1.3+EXP((AB70+AC70*$H70)*EXP(-(AD70+AE70*$L70)*$D70^(-(AF70+AG70*$I70))))),IF($C70="Pinus pinaster",IF(OR($D70="",$I70="",$K70=""),"",(AB70+AC70*$I70)/(1+(AD70+AE70*$K70)*EXP(-(AF70+AG70*$I70)*$D70))),IF($C70="Quercus pyrenaica",IF(OR($D70="",$L70="",$J70="",$I70=""),"",(AB70+AC70*$L70)*EXP((AD70+AE70*$J70)*EXP(-(AF70+AG70*$I70)*$D70))),"")))),"")</f>
        <v/>
      </c>
      <c r="P70" s="15" t="str">
        <f aca="false">IFERROR(IF(OR($C70="",$D70="",$E70="",$G70=""),"",1.3+(AH70+AI70*$E70-AJ70*$G70)*EXP(-AK70/SQRT($D70))),"")</f>
        <v/>
      </c>
      <c r="Q70" s="15" t="str">
        <f aca="false">IFERROR(IF(OR($C70="",$D70=""),"",1.3+AL70*(LN(1+$D70))^AM70),"")</f>
        <v/>
      </c>
      <c r="S70" s="1" t="str">
        <f aca="false">IF($C70="","",VLOOKUP($C70,coefs!$A:$V,2,FALSE()))</f>
        <v/>
      </c>
      <c r="T70" s="1" t="str">
        <f aca="false">IF($C70="","",VLOOKUP($C70,coefs!$A:$V,3,FALSE()))</f>
        <v/>
      </c>
      <c r="U70" s="1" t="str">
        <f aca="false">IF($C70="","",VLOOKUP($C70,coefs!$A:$V,4,FALSE()))</f>
        <v/>
      </c>
      <c r="V70" s="1" t="str">
        <f aca="false">IF($C70="","",VLOOKUP($C70,coefs!$A:$V,5,FALSE()))</f>
        <v/>
      </c>
      <c r="W70" s="1" t="str">
        <f aca="false">IF($C70="","",VLOOKUP($C70,coefs!$A:$V,6,FALSE()))</f>
        <v/>
      </c>
      <c r="X70" s="1" t="str">
        <f aca="false">IF($C70="","",VLOOKUP($C70,coefs!$A:$V,7,FALSE()))</f>
        <v/>
      </c>
      <c r="Y70" s="1" t="str">
        <f aca="false">IF($C70="","",VLOOKUP($C70,coefs!$A:$V,8,FALSE()))</f>
        <v/>
      </c>
      <c r="Z70" s="1" t="str">
        <f aca="false">IF($C70="","",VLOOKUP($C70,coefs!$A:$V,9,FALSE()))</f>
        <v/>
      </c>
      <c r="AA70" s="1" t="str">
        <f aca="false">IF($C70="","",VLOOKUP($C70,coefs!$A:$V,10,FALSE()))</f>
        <v/>
      </c>
      <c r="AB70" s="1" t="str">
        <f aca="false">IF($C70="","",VLOOKUP($C70,coefs!$A:$V,11,FALSE()))</f>
        <v/>
      </c>
      <c r="AC70" s="1" t="str">
        <f aca="false">IF($C70="","",VLOOKUP($C70,coefs!$A:$V,12,FALSE()))</f>
        <v/>
      </c>
      <c r="AD70" s="1" t="str">
        <f aca="false">IF($C70="","",VLOOKUP($C70,coefs!$A:$V,13,FALSE()))</f>
        <v/>
      </c>
      <c r="AE70" s="1" t="str">
        <f aca="false">IF($C70="","",VLOOKUP($C70,coefs!$A:$V,14,FALSE()))</f>
        <v/>
      </c>
      <c r="AF70" s="1" t="str">
        <f aca="false">IF($C70="","",VLOOKUP($C70,coefs!$A:$V,15,FALSE()))</f>
        <v/>
      </c>
      <c r="AG70" s="1" t="str">
        <f aca="false">IF($C70="","",VLOOKUP($C70,coefs!$A:$V,16,FALSE()))</f>
        <v/>
      </c>
      <c r="AH70" s="1" t="str">
        <f aca="false">IF($C70="","",VLOOKUP($C70,coefs!$A:$V,17,FALSE()))</f>
        <v/>
      </c>
      <c r="AI70" s="1" t="str">
        <f aca="false">IF($C70="","",VLOOKUP($C70,coefs!$A:$V,18,FALSE()))</f>
        <v/>
      </c>
      <c r="AJ70" s="1" t="str">
        <f aca="false">IF($C70="","",VLOOKUP($C70,coefs!$A:$V,19,FALSE()))</f>
        <v/>
      </c>
      <c r="AK70" s="1" t="str">
        <f aca="false">IF($C70="","",VLOOKUP($C70,coefs!$A:$V,20,FALSE()))</f>
        <v/>
      </c>
      <c r="AL70" s="1" t="str">
        <f aca="false">IF($C70="","",VLOOKUP($C70,coefs!$A:$V,21,FALSE()))</f>
        <v/>
      </c>
      <c r="AM70" s="1" t="str">
        <f aca="false">IF($C70="","",VLOOKUP($C70,coefs!$A:$V,22,FALSE()))</f>
        <v/>
      </c>
    </row>
    <row r="71" customFormat="false" ht="15" hidden="false" customHeight="true" outlineLevel="0" collapsed="false">
      <c r="A71" s="14"/>
      <c r="B71" s="14"/>
      <c r="C71" s="14"/>
      <c r="D71" s="15"/>
      <c r="E71" s="16"/>
      <c r="F71" s="16"/>
      <c r="G71" s="16"/>
      <c r="H71" s="17"/>
      <c r="I71" s="16"/>
      <c r="J71" s="16"/>
      <c r="K71" s="17"/>
      <c r="L71" s="17"/>
      <c r="M71" s="15" t="str">
        <f aca="false">IFERROR(IF(OR($C71="",$D71=""),"",IF($C71="Pinus pinaster",S71/(1+T71*EXP(-U71*$D71)),IF($C71="Quercus pyrenaica",S71*EXP(T71*EXP(-U71*$D71)),1.3+EXP(S71*EXP(-T71*$D71^(-U71)))))),"")</f>
        <v/>
      </c>
      <c r="N71" s="15" t="str">
        <f aca="false">IFERROR(IF($C71="Pinus sylvestris",IF(OR($D71="",$E71="",$F71=""),"",1.3+EXP((V71+W71*$E71)*EXP(-(X71+Y71*$F71)*$D71^(-(Z71+AA71*$E71))))),IF($C71="Pinus nigra",IF(OR($D71="",$E71="",$F71="",$J71=""),"",1.3+EXP((V71+W71*$J71)*EXP(-(X71+Y71*$F71)*$D71^(-(Z71+AA71*$E71))))),IF($C71="Pinus pinaster",IF(OR($D71="",$E71="",$H71="",$F71=""),"",(V71+W71*$E71)/(1+(X71+Y71*$H71)*EXP(-(Z71+AA71*$F71)*$D71))),IF($C71="Quercus pyrenaica",IF(OR($D71="",$E71="",$G71="",$J71=""),"",(V71+W71*$E71)*EXP((X71+Y71*$G71)*EXP(-(Z71+AA71*$J71)*$D71))),"")))),"")</f>
        <v/>
      </c>
      <c r="O71" s="15" t="str">
        <f aca="false">IFERROR(IF($C71="Pinus sylvestris",IF(OR($D71="",$H71="",$I71="",$J71=""),"",1.3+EXP((AB71+AC71*$H71)*EXP(-(AD71+AE71*$I71)*$D71^(-(AF71+AG71*$J71))))),IF($C71="Pinus nigra",IF(OR($D71="",$H71="",$L71="",$I71=""),"",1.3+EXP((AB71+AC71*$H71)*EXP(-(AD71+AE71*$L71)*$D71^(-(AF71+AG71*$I71))))),IF($C71="Pinus pinaster",IF(OR($D71="",$I71="",$K71=""),"",(AB71+AC71*$I71)/(1+(AD71+AE71*$K71)*EXP(-(AF71+AG71*$I71)*$D71))),IF($C71="Quercus pyrenaica",IF(OR($D71="",$L71="",$J71="",$I71=""),"",(AB71+AC71*$L71)*EXP((AD71+AE71*$J71)*EXP(-(AF71+AG71*$I71)*$D71))),"")))),"")</f>
        <v/>
      </c>
      <c r="P71" s="15" t="str">
        <f aca="false">IFERROR(IF(OR($C71="",$D71="",$E71="",$G71=""),"",1.3+(AH71+AI71*$E71-AJ71*$G71)*EXP(-AK71/SQRT($D71))),"")</f>
        <v/>
      </c>
      <c r="Q71" s="15" t="str">
        <f aca="false">IFERROR(IF(OR($C71="",$D71=""),"",1.3+AL71*(LN(1+$D71))^AM71),"")</f>
        <v/>
      </c>
      <c r="S71" s="1" t="str">
        <f aca="false">IF($C71="","",VLOOKUP($C71,coefs!$A:$V,2,FALSE()))</f>
        <v/>
      </c>
      <c r="T71" s="1" t="str">
        <f aca="false">IF($C71="","",VLOOKUP($C71,coefs!$A:$V,3,FALSE()))</f>
        <v/>
      </c>
      <c r="U71" s="1" t="str">
        <f aca="false">IF($C71="","",VLOOKUP($C71,coefs!$A:$V,4,FALSE()))</f>
        <v/>
      </c>
      <c r="V71" s="1" t="str">
        <f aca="false">IF($C71="","",VLOOKUP($C71,coefs!$A:$V,5,FALSE()))</f>
        <v/>
      </c>
      <c r="W71" s="1" t="str">
        <f aca="false">IF($C71="","",VLOOKUP($C71,coefs!$A:$V,6,FALSE()))</f>
        <v/>
      </c>
      <c r="X71" s="1" t="str">
        <f aca="false">IF($C71="","",VLOOKUP($C71,coefs!$A:$V,7,FALSE()))</f>
        <v/>
      </c>
      <c r="Y71" s="1" t="str">
        <f aca="false">IF($C71="","",VLOOKUP($C71,coefs!$A:$V,8,FALSE()))</f>
        <v/>
      </c>
      <c r="Z71" s="1" t="str">
        <f aca="false">IF($C71="","",VLOOKUP($C71,coefs!$A:$V,9,FALSE()))</f>
        <v/>
      </c>
      <c r="AA71" s="1" t="str">
        <f aca="false">IF($C71="","",VLOOKUP($C71,coefs!$A:$V,10,FALSE()))</f>
        <v/>
      </c>
      <c r="AB71" s="1" t="str">
        <f aca="false">IF($C71="","",VLOOKUP($C71,coefs!$A:$V,11,FALSE()))</f>
        <v/>
      </c>
      <c r="AC71" s="1" t="str">
        <f aca="false">IF($C71="","",VLOOKUP($C71,coefs!$A:$V,12,FALSE()))</f>
        <v/>
      </c>
      <c r="AD71" s="1" t="str">
        <f aca="false">IF($C71="","",VLOOKUP($C71,coefs!$A:$V,13,FALSE()))</f>
        <v/>
      </c>
      <c r="AE71" s="1" t="str">
        <f aca="false">IF($C71="","",VLOOKUP($C71,coefs!$A:$V,14,FALSE()))</f>
        <v/>
      </c>
      <c r="AF71" s="1" t="str">
        <f aca="false">IF($C71="","",VLOOKUP($C71,coefs!$A:$V,15,FALSE()))</f>
        <v/>
      </c>
      <c r="AG71" s="1" t="str">
        <f aca="false">IF($C71="","",VLOOKUP($C71,coefs!$A:$V,16,FALSE()))</f>
        <v/>
      </c>
      <c r="AH71" s="1" t="str">
        <f aca="false">IF($C71="","",VLOOKUP($C71,coefs!$A:$V,17,FALSE()))</f>
        <v/>
      </c>
      <c r="AI71" s="1" t="str">
        <f aca="false">IF($C71="","",VLOOKUP($C71,coefs!$A:$V,18,FALSE()))</f>
        <v/>
      </c>
      <c r="AJ71" s="1" t="str">
        <f aca="false">IF($C71="","",VLOOKUP($C71,coefs!$A:$V,19,FALSE()))</f>
        <v/>
      </c>
      <c r="AK71" s="1" t="str">
        <f aca="false">IF($C71="","",VLOOKUP($C71,coefs!$A:$V,20,FALSE()))</f>
        <v/>
      </c>
      <c r="AL71" s="1" t="str">
        <f aca="false">IF($C71="","",VLOOKUP($C71,coefs!$A:$V,21,FALSE()))</f>
        <v/>
      </c>
      <c r="AM71" s="1" t="str">
        <f aca="false">IF($C71="","",VLOOKUP($C71,coefs!$A:$V,22,FALSE()))</f>
        <v/>
      </c>
    </row>
    <row r="72" customFormat="false" ht="15" hidden="false" customHeight="true" outlineLevel="0" collapsed="false">
      <c r="A72" s="14"/>
      <c r="B72" s="14"/>
      <c r="C72" s="14"/>
      <c r="D72" s="15"/>
      <c r="E72" s="16"/>
      <c r="F72" s="16"/>
      <c r="G72" s="16"/>
      <c r="H72" s="17"/>
      <c r="I72" s="16"/>
      <c r="J72" s="16"/>
      <c r="K72" s="17"/>
      <c r="L72" s="17"/>
      <c r="M72" s="15" t="str">
        <f aca="false">IFERROR(IF(OR($C72="",$D72=""),"",IF($C72="Pinus pinaster",S72/(1+T72*EXP(-U72*$D72)),IF($C72="Quercus pyrenaica",S72*EXP(T72*EXP(-U72*$D72)),1.3+EXP(S72*EXP(-T72*$D72^(-U72)))))),"")</f>
        <v/>
      </c>
      <c r="N72" s="15" t="str">
        <f aca="false">IFERROR(IF($C72="Pinus sylvestris",IF(OR($D72="",$E72="",$F72=""),"",1.3+EXP((V72+W72*$E72)*EXP(-(X72+Y72*$F72)*$D72^(-(Z72+AA72*$E72))))),IF($C72="Pinus nigra",IF(OR($D72="",$E72="",$F72="",$J72=""),"",1.3+EXP((V72+W72*$J72)*EXP(-(X72+Y72*$F72)*$D72^(-(Z72+AA72*$E72))))),IF($C72="Pinus pinaster",IF(OR($D72="",$E72="",$H72="",$F72=""),"",(V72+W72*$E72)/(1+(X72+Y72*$H72)*EXP(-(Z72+AA72*$F72)*$D72))),IF($C72="Quercus pyrenaica",IF(OR($D72="",$E72="",$G72="",$J72=""),"",(V72+W72*$E72)*EXP((X72+Y72*$G72)*EXP(-(Z72+AA72*$J72)*$D72))),"")))),"")</f>
        <v/>
      </c>
      <c r="O72" s="15" t="str">
        <f aca="false">IFERROR(IF($C72="Pinus sylvestris",IF(OR($D72="",$H72="",$I72="",$J72=""),"",1.3+EXP((AB72+AC72*$H72)*EXP(-(AD72+AE72*$I72)*$D72^(-(AF72+AG72*$J72))))),IF($C72="Pinus nigra",IF(OR($D72="",$H72="",$L72="",$I72=""),"",1.3+EXP((AB72+AC72*$H72)*EXP(-(AD72+AE72*$L72)*$D72^(-(AF72+AG72*$I72))))),IF($C72="Pinus pinaster",IF(OR($D72="",$I72="",$K72=""),"",(AB72+AC72*$I72)/(1+(AD72+AE72*$K72)*EXP(-(AF72+AG72*$I72)*$D72))),IF($C72="Quercus pyrenaica",IF(OR($D72="",$L72="",$J72="",$I72=""),"",(AB72+AC72*$L72)*EXP((AD72+AE72*$J72)*EXP(-(AF72+AG72*$I72)*$D72))),"")))),"")</f>
        <v/>
      </c>
      <c r="P72" s="15" t="str">
        <f aca="false">IFERROR(IF(OR($C72="",$D72="",$E72="",$G72=""),"",1.3+(AH72+AI72*$E72-AJ72*$G72)*EXP(-AK72/SQRT($D72))),"")</f>
        <v/>
      </c>
      <c r="Q72" s="15" t="str">
        <f aca="false">IFERROR(IF(OR($C72="",$D72=""),"",1.3+AL72*(LN(1+$D72))^AM72),"")</f>
        <v/>
      </c>
      <c r="S72" s="1" t="str">
        <f aca="false">IF($C72="","",VLOOKUP($C72,coefs!$A:$V,2,FALSE()))</f>
        <v/>
      </c>
      <c r="T72" s="1" t="str">
        <f aca="false">IF($C72="","",VLOOKUP($C72,coefs!$A:$V,3,FALSE()))</f>
        <v/>
      </c>
      <c r="U72" s="1" t="str">
        <f aca="false">IF($C72="","",VLOOKUP($C72,coefs!$A:$V,4,FALSE()))</f>
        <v/>
      </c>
      <c r="V72" s="1" t="str">
        <f aca="false">IF($C72="","",VLOOKUP($C72,coefs!$A:$V,5,FALSE()))</f>
        <v/>
      </c>
      <c r="W72" s="1" t="str">
        <f aca="false">IF($C72="","",VLOOKUP($C72,coefs!$A:$V,6,FALSE()))</f>
        <v/>
      </c>
      <c r="X72" s="1" t="str">
        <f aca="false">IF($C72="","",VLOOKUP($C72,coefs!$A:$V,7,FALSE()))</f>
        <v/>
      </c>
      <c r="Y72" s="1" t="str">
        <f aca="false">IF($C72="","",VLOOKUP($C72,coefs!$A:$V,8,FALSE()))</f>
        <v/>
      </c>
      <c r="Z72" s="1" t="str">
        <f aca="false">IF($C72="","",VLOOKUP($C72,coefs!$A:$V,9,FALSE()))</f>
        <v/>
      </c>
      <c r="AA72" s="1" t="str">
        <f aca="false">IF($C72="","",VLOOKUP($C72,coefs!$A:$V,10,FALSE()))</f>
        <v/>
      </c>
      <c r="AB72" s="1" t="str">
        <f aca="false">IF($C72="","",VLOOKUP($C72,coefs!$A:$V,11,FALSE()))</f>
        <v/>
      </c>
      <c r="AC72" s="1" t="str">
        <f aca="false">IF($C72="","",VLOOKUP($C72,coefs!$A:$V,12,FALSE()))</f>
        <v/>
      </c>
      <c r="AD72" s="1" t="str">
        <f aca="false">IF($C72="","",VLOOKUP($C72,coefs!$A:$V,13,FALSE()))</f>
        <v/>
      </c>
      <c r="AE72" s="1" t="str">
        <f aca="false">IF($C72="","",VLOOKUP($C72,coefs!$A:$V,14,FALSE()))</f>
        <v/>
      </c>
      <c r="AF72" s="1" t="str">
        <f aca="false">IF($C72="","",VLOOKUP($C72,coefs!$A:$V,15,FALSE()))</f>
        <v/>
      </c>
      <c r="AG72" s="1" t="str">
        <f aca="false">IF($C72="","",VLOOKUP($C72,coefs!$A:$V,16,FALSE()))</f>
        <v/>
      </c>
      <c r="AH72" s="1" t="str">
        <f aca="false">IF($C72="","",VLOOKUP($C72,coefs!$A:$V,17,FALSE()))</f>
        <v/>
      </c>
      <c r="AI72" s="1" t="str">
        <f aca="false">IF($C72="","",VLOOKUP($C72,coefs!$A:$V,18,FALSE()))</f>
        <v/>
      </c>
      <c r="AJ72" s="1" t="str">
        <f aca="false">IF($C72="","",VLOOKUP($C72,coefs!$A:$V,19,FALSE()))</f>
        <v/>
      </c>
      <c r="AK72" s="1" t="str">
        <f aca="false">IF($C72="","",VLOOKUP($C72,coefs!$A:$V,20,FALSE()))</f>
        <v/>
      </c>
      <c r="AL72" s="1" t="str">
        <f aca="false">IF($C72="","",VLOOKUP($C72,coefs!$A:$V,21,FALSE()))</f>
        <v/>
      </c>
      <c r="AM72" s="1" t="str">
        <f aca="false">IF($C72="","",VLOOKUP($C72,coefs!$A:$V,22,FALSE()))</f>
        <v/>
      </c>
    </row>
    <row r="73" customFormat="false" ht="15" hidden="false" customHeight="true" outlineLevel="0" collapsed="false">
      <c r="A73" s="14"/>
      <c r="B73" s="14"/>
      <c r="C73" s="14"/>
      <c r="D73" s="15"/>
      <c r="E73" s="16"/>
      <c r="F73" s="16"/>
      <c r="G73" s="16"/>
      <c r="H73" s="17"/>
      <c r="I73" s="16"/>
      <c r="J73" s="16"/>
      <c r="K73" s="17"/>
      <c r="L73" s="17"/>
      <c r="M73" s="15" t="str">
        <f aca="false">IFERROR(IF(OR($C73="",$D73=""),"",IF($C73="Pinus pinaster",S73/(1+T73*EXP(-U73*$D73)),IF($C73="Quercus pyrenaica",S73*EXP(T73*EXP(-U73*$D73)),1.3+EXP(S73*EXP(-T73*$D73^(-U73)))))),"")</f>
        <v/>
      </c>
      <c r="N73" s="15" t="str">
        <f aca="false">IFERROR(IF($C73="Pinus sylvestris",IF(OR($D73="",$E73="",$F73=""),"",1.3+EXP((V73+W73*$E73)*EXP(-(X73+Y73*$F73)*$D73^(-(Z73+AA73*$E73))))),IF($C73="Pinus nigra",IF(OR($D73="",$E73="",$F73="",$J73=""),"",1.3+EXP((V73+W73*$J73)*EXP(-(X73+Y73*$F73)*$D73^(-(Z73+AA73*$E73))))),IF($C73="Pinus pinaster",IF(OR($D73="",$E73="",$H73="",$F73=""),"",(V73+W73*$E73)/(1+(X73+Y73*$H73)*EXP(-(Z73+AA73*$F73)*$D73))),IF($C73="Quercus pyrenaica",IF(OR($D73="",$E73="",$G73="",$J73=""),"",(V73+W73*$E73)*EXP((X73+Y73*$G73)*EXP(-(Z73+AA73*$J73)*$D73))),"")))),"")</f>
        <v/>
      </c>
      <c r="O73" s="15" t="str">
        <f aca="false">IFERROR(IF($C73="Pinus sylvestris",IF(OR($D73="",$H73="",$I73="",$J73=""),"",1.3+EXP((AB73+AC73*$H73)*EXP(-(AD73+AE73*$I73)*$D73^(-(AF73+AG73*$J73))))),IF($C73="Pinus nigra",IF(OR($D73="",$H73="",$L73="",$I73=""),"",1.3+EXP((AB73+AC73*$H73)*EXP(-(AD73+AE73*$L73)*$D73^(-(AF73+AG73*$I73))))),IF($C73="Pinus pinaster",IF(OR($D73="",$I73="",$K73=""),"",(AB73+AC73*$I73)/(1+(AD73+AE73*$K73)*EXP(-(AF73+AG73*$I73)*$D73))),IF($C73="Quercus pyrenaica",IF(OR($D73="",$L73="",$J73="",$I73=""),"",(AB73+AC73*$L73)*EXP((AD73+AE73*$J73)*EXP(-(AF73+AG73*$I73)*$D73))),"")))),"")</f>
        <v/>
      </c>
      <c r="P73" s="15" t="str">
        <f aca="false">IFERROR(IF(OR($C73="",$D73="",$E73="",$G73=""),"",1.3+(AH73+AI73*$E73-AJ73*$G73)*EXP(-AK73/SQRT($D73))),"")</f>
        <v/>
      </c>
      <c r="Q73" s="15" t="str">
        <f aca="false">IFERROR(IF(OR($C73="",$D73=""),"",1.3+AL73*(LN(1+$D73))^AM73),"")</f>
        <v/>
      </c>
      <c r="S73" s="1" t="str">
        <f aca="false">IF($C73="","",VLOOKUP($C73,coefs!$A:$V,2,FALSE()))</f>
        <v/>
      </c>
      <c r="T73" s="1" t="str">
        <f aca="false">IF($C73="","",VLOOKUP($C73,coefs!$A:$V,3,FALSE()))</f>
        <v/>
      </c>
      <c r="U73" s="1" t="str">
        <f aca="false">IF($C73="","",VLOOKUP($C73,coefs!$A:$V,4,FALSE()))</f>
        <v/>
      </c>
      <c r="V73" s="1" t="str">
        <f aca="false">IF($C73="","",VLOOKUP($C73,coefs!$A:$V,5,FALSE()))</f>
        <v/>
      </c>
      <c r="W73" s="1" t="str">
        <f aca="false">IF($C73="","",VLOOKUP($C73,coefs!$A:$V,6,FALSE()))</f>
        <v/>
      </c>
      <c r="X73" s="1" t="str">
        <f aca="false">IF($C73="","",VLOOKUP($C73,coefs!$A:$V,7,FALSE()))</f>
        <v/>
      </c>
      <c r="Y73" s="1" t="str">
        <f aca="false">IF($C73="","",VLOOKUP($C73,coefs!$A:$V,8,FALSE()))</f>
        <v/>
      </c>
      <c r="Z73" s="1" t="str">
        <f aca="false">IF($C73="","",VLOOKUP($C73,coefs!$A:$V,9,FALSE()))</f>
        <v/>
      </c>
      <c r="AA73" s="1" t="str">
        <f aca="false">IF($C73="","",VLOOKUP($C73,coefs!$A:$V,10,FALSE()))</f>
        <v/>
      </c>
      <c r="AB73" s="1" t="str">
        <f aca="false">IF($C73="","",VLOOKUP($C73,coefs!$A:$V,11,FALSE()))</f>
        <v/>
      </c>
      <c r="AC73" s="1" t="str">
        <f aca="false">IF($C73="","",VLOOKUP($C73,coefs!$A:$V,12,FALSE()))</f>
        <v/>
      </c>
      <c r="AD73" s="1" t="str">
        <f aca="false">IF($C73="","",VLOOKUP($C73,coefs!$A:$V,13,FALSE()))</f>
        <v/>
      </c>
      <c r="AE73" s="1" t="str">
        <f aca="false">IF($C73="","",VLOOKUP($C73,coefs!$A:$V,14,FALSE()))</f>
        <v/>
      </c>
      <c r="AF73" s="1" t="str">
        <f aca="false">IF($C73="","",VLOOKUP($C73,coefs!$A:$V,15,FALSE()))</f>
        <v/>
      </c>
      <c r="AG73" s="1" t="str">
        <f aca="false">IF($C73="","",VLOOKUP($C73,coefs!$A:$V,16,FALSE()))</f>
        <v/>
      </c>
      <c r="AH73" s="1" t="str">
        <f aca="false">IF($C73="","",VLOOKUP($C73,coefs!$A:$V,17,FALSE()))</f>
        <v/>
      </c>
      <c r="AI73" s="1" t="str">
        <f aca="false">IF($C73="","",VLOOKUP($C73,coefs!$A:$V,18,FALSE()))</f>
        <v/>
      </c>
      <c r="AJ73" s="1" t="str">
        <f aca="false">IF($C73="","",VLOOKUP($C73,coefs!$A:$V,19,FALSE()))</f>
        <v/>
      </c>
      <c r="AK73" s="1" t="str">
        <f aca="false">IF($C73="","",VLOOKUP($C73,coefs!$A:$V,20,FALSE()))</f>
        <v/>
      </c>
      <c r="AL73" s="1" t="str">
        <f aca="false">IF($C73="","",VLOOKUP($C73,coefs!$A:$V,21,FALSE()))</f>
        <v/>
      </c>
      <c r="AM73" s="1" t="str">
        <f aca="false">IF($C73="","",VLOOKUP($C73,coefs!$A:$V,22,FALSE()))</f>
        <v/>
      </c>
    </row>
    <row r="74" customFormat="false" ht="15" hidden="false" customHeight="true" outlineLevel="0" collapsed="false">
      <c r="A74" s="14"/>
      <c r="B74" s="14"/>
      <c r="C74" s="14"/>
      <c r="D74" s="15"/>
      <c r="E74" s="16"/>
      <c r="F74" s="16"/>
      <c r="G74" s="16"/>
      <c r="H74" s="17"/>
      <c r="I74" s="16"/>
      <c r="J74" s="16"/>
      <c r="K74" s="17"/>
      <c r="L74" s="17"/>
      <c r="M74" s="15" t="str">
        <f aca="false">IFERROR(IF(OR($C74="",$D74=""),"",IF($C74="Pinus pinaster",S74/(1+T74*EXP(-U74*$D74)),IF($C74="Quercus pyrenaica",S74*EXP(T74*EXP(-U74*$D74)),1.3+EXP(S74*EXP(-T74*$D74^(-U74)))))),"")</f>
        <v/>
      </c>
      <c r="N74" s="15" t="str">
        <f aca="false">IFERROR(IF($C74="Pinus sylvestris",IF(OR($D74="",$E74="",$F74=""),"",1.3+EXP((V74+W74*$E74)*EXP(-(X74+Y74*$F74)*$D74^(-(Z74+AA74*$E74))))),IF($C74="Pinus nigra",IF(OR($D74="",$E74="",$F74="",$J74=""),"",1.3+EXP((V74+W74*$J74)*EXP(-(X74+Y74*$F74)*$D74^(-(Z74+AA74*$E74))))),IF($C74="Pinus pinaster",IF(OR($D74="",$E74="",$H74="",$F74=""),"",(V74+W74*$E74)/(1+(X74+Y74*$H74)*EXP(-(Z74+AA74*$F74)*$D74))),IF($C74="Quercus pyrenaica",IF(OR($D74="",$E74="",$G74="",$J74=""),"",(V74+W74*$E74)*EXP((X74+Y74*$G74)*EXP(-(Z74+AA74*$J74)*$D74))),"")))),"")</f>
        <v/>
      </c>
      <c r="O74" s="15" t="str">
        <f aca="false">IFERROR(IF($C74="Pinus sylvestris",IF(OR($D74="",$H74="",$I74="",$J74=""),"",1.3+EXP((AB74+AC74*$H74)*EXP(-(AD74+AE74*$I74)*$D74^(-(AF74+AG74*$J74))))),IF($C74="Pinus nigra",IF(OR($D74="",$H74="",$L74="",$I74=""),"",1.3+EXP((AB74+AC74*$H74)*EXP(-(AD74+AE74*$L74)*$D74^(-(AF74+AG74*$I74))))),IF($C74="Pinus pinaster",IF(OR($D74="",$I74="",$K74=""),"",(AB74+AC74*$I74)/(1+(AD74+AE74*$K74)*EXP(-(AF74+AG74*$I74)*$D74))),IF($C74="Quercus pyrenaica",IF(OR($D74="",$L74="",$J74="",$I74=""),"",(AB74+AC74*$L74)*EXP((AD74+AE74*$J74)*EXP(-(AF74+AG74*$I74)*$D74))),"")))),"")</f>
        <v/>
      </c>
      <c r="P74" s="15" t="str">
        <f aca="false">IFERROR(IF(OR($C74="",$D74="",$E74="",$G74=""),"",1.3+(AH74+AI74*$E74-AJ74*$G74)*EXP(-AK74/SQRT($D74))),"")</f>
        <v/>
      </c>
      <c r="Q74" s="15" t="str">
        <f aca="false">IFERROR(IF(OR($C74="",$D74=""),"",1.3+AL74*(LN(1+$D74))^AM74),"")</f>
        <v/>
      </c>
      <c r="S74" s="1" t="str">
        <f aca="false">IF($C74="","",VLOOKUP($C74,coefs!$A:$V,2,FALSE()))</f>
        <v/>
      </c>
      <c r="T74" s="1" t="str">
        <f aca="false">IF($C74="","",VLOOKUP($C74,coefs!$A:$V,3,FALSE()))</f>
        <v/>
      </c>
      <c r="U74" s="1" t="str">
        <f aca="false">IF($C74="","",VLOOKUP($C74,coefs!$A:$V,4,FALSE()))</f>
        <v/>
      </c>
      <c r="V74" s="1" t="str">
        <f aca="false">IF($C74="","",VLOOKUP($C74,coefs!$A:$V,5,FALSE()))</f>
        <v/>
      </c>
      <c r="W74" s="1" t="str">
        <f aca="false">IF($C74="","",VLOOKUP($C74,coefs!$A:$V,6,FALSE()))</f>
        <v/>
      </c>
      <c r="X74" s="1" t="str">
        <f aca="false">IF($C74="","",VLOOKUP($C74,coefs!$A:$V,7,FALSE()))</f>
        <v/>
      </c>
      <c r="Y74" s="1" t="str">
        <f aca="false">IF($C74="","",VLOOKUP($C74,coefs!$A:$V,8,FALSE()))</f>
        <v/>
      </c>
      <c r="Z74" s="1" t="str">
        <f aca="false">IF($C74="","",VLOOKUP($C74,coefs!$A:$V,9,FALSE()))</f>
        <v/>
      </c>
      <c r="AA74" s="1" t="str">
        <f aca="false">IF($C74="","",VLOOKUP($C74,coefs!$A:$V,10,FALSE()))</f>
        <v/>
      </c>
      <c r="AB74" s="1" t="str">
        <f aca="false">IF($C74="","",VLOOKUP($C74,coefs!$A:$V,11,FALSE()))</f>
        <v/>
      </c>
      <c r="AC74" s="1" t="str">
        <f aca="false">IF($C74="","",VLOOKUP($C74,coefs!$A:$V,12,FALSE()))</f>
        <v/>
      </c>
      <c r="AD74" s="1" t="str">
        <f aca="false">IF($C74="","",VLOOKUP($C74,coefs!$A:$V,13,FALSE()))</f>
        <v/>
      </c>
      <c r="AE74" s="1" t="str">
        <f aca="false">IF($C74="","",VLOOKUP($C74,coefs!$A:$V,14,FALSE()))</f>
        <v/>
      </c>
      <c r="AF74" s="1" t="str">
        <f aca="false">IF($C74="","",VLOOKUP($C74,coefs!$A:$V,15,FALSE()))</f>
        <v/>
      </c>
      <c r="AG74" s="1" t="str">
        <f aca="false">IF($C74="","",VLOOKUP($C74,coefs!$A:$V,16,FALSE()))</f>
        <v/>
      </c>
      <c r="AH74" s="1" t="str">
        <f aca="false">IF($C74="","",VLOOKUP($C74,coefs!$A:$V,17,FALSE()))</f>
        <v/>
      </c>
      <c r="AI74" s="1" t="str">
        <f aca="false">IF($C74="","",VLOOKUP($C74,coefs!$A:$V,18,FALSE()))</f>
        <v/>
      </c>
      <c r="AJ74" s="1" t="str">
        <f aca="false">IF($C74="","",VLOOKUP($C74,coefs!$A:$V,19,FALSE()))</f>
        <v/>
      </c>
      <c r="AK74" s="1" t="str">
        <f aca="false">IF($C74="","",VLOOKUP($C74,coefs!$A:$V,20,FALSE()))</f>
        <v/>
      </c>
      <c r="AL74" s="1" t="str">
        <f aca="false">IF($C74="","",VLOOKUP($C74,coefs!$A:$V,21,FALSE()))</f>
        <v/>
      </c>
      <c r="AM74" s="1" t="str">
        <f aca="false">IF($C74="","",VLOOKUP($C74,coefs!$A:$V,22,FALSE()))</f>
        <v/>
      </c>
    </row>
    <row r="75" customFormat="false" ht="15" hidden="false" customHeight="true" outlineLevel="0" collapsed="false">
      <c r="A75" s="14"/>
      <c r="B75" s="14"/>
      <c r="C75" s="14"/>
      <c r="D75" s="15"/>
      <c r="E75" s="16"/>
      <c r="F75" s="16"/>
      <c r="G75" s="16"/>
      <c r="H75" s="17"/>
      <c r="I75" s="16"/>
      <c r="J75" s="16"/>
      <c r="K75" s="17"/>
      <c r="L75" s="17"/>
      <c r="M75" s="15" t="str">
        <f aca="false">IFERROR(IF(OR($C75="",$D75=""),"",IF($C75="Pinus pinaster",S75/(1+T75*EXP(-U75*$D75)),IF($C75="Quercus pyrenaica",S75*EXP(T75*EXP(-U75*$D75)),1.3+EXP(S75*EXP(-T75*$D75^(-U75)))))),"")</f>
        <v/>
      </c>
      <c r="N75" s="15" t="str">
        <f aca="false">IFERROR(IF($C75="Pinus sylvestris",IF(OR($D75="",$E75="",$F75=""),"",1.3+EXP((V75+W75*$E75)*EXP(-(X75+Y75*$F75)*$D75^(-(Z75+AA75*$E75))))),IF($C75="Pinus nigra",IF(OR($D75="",$E75="",$F75="",$J75=""),"",1.3+EXP((V75+W75*$J75)*EXP(-(X75+Y75*$F75)*$D75^(-(Z75+AA75*$E75))))),IF($C75="Pinus pinaster",IF(OR($D75="",$E75="",$H75="",$F75=""),"",(V75+W75*$E75)/(1+(X75+Y75*$H75)*EXP(-(Z75+AA75*$F75)*$D75))),IF($C75="Quercus pyrenaica",IF(OR($D75="",$E75="",$G75="",$J75=""),"",(V75+W75*$E75)*EXP((X75+Y75*$G75)*EXP(-(Z75+AA75*$J75)*$D75))),"")))),"")</f>
        <v/>
      </c>
      <c r="O75" s="15" t="str">
        <f aca="false">IFERROR(IF($C75="Pinus sylvestris",IF(OR($D75="",$H75="",$I75="",$J75=""),"",1.3+EXP((AB75+AC75*$H75)*EXP(-(AD75+AE75*$I75)*$D75^(-(AF75+AG75*$J75))))),IF($C75="Pinus nigra",IF(OR($D75="",$H75="",$L75="",$I75=""),"",1.3+EXP((AB75+AC75*$H75)*EXP(-(AD75+AE75*$L75)*$D75^(-(AF75+AG75*$I75))))),IF($C75="Pinus pinaster",IF(OR($D75="",$I75="",$K75=""),"",(AB75+AC75*$I75)/(1+(AD75+AE75*$K75)*EXP(-(AF75+AG75*$I75)*$D75))),IF($C75="Quercus pyrenaica",IF(OR($D75="",$L75="",$J75="",$I75=""),"",(AB75+AC75*$L75)*EXP((AD75+AE75*$J75)*EXP(-(AF75+AG75*$I75)*$D75))),"")))),"")</f>
        <v/>
      </c>
      <c r="P75" s="15" t="str">
        <f aca="false">IFERROR(IF(OR($C75="",$D75="",$E75="",$G75=""),"",1.3+(AH75+AI75*$E75-AJ75*$G75)*EXP(-AK75/SQRT($D75))),"")</f>
        <v/>
      </c>
      <c r="Q75" s="15" t="str">
        <f aca="false">IFERROR(IF(OR($C75="",$D75=""),"",1.3+AL75*(LN(1+$D75))^AM75),"")</f>
        <v/>
      </c>
      <c r="S75" s="1" t="str">
        <f aca="false">IF($C75="","",VLOOKUP($C75,coefs!$A:$V,2,FALSE()))</f>
        <v/>
      </c>
      <c r="T75" s="1" t="str">
        <f aca="false">IF($C75="","",VLOOKUP($C75,coefs!$A:$V,3,FALSE()))</f>
        <v/>
      </c>
      <c r="U75" s="1" t="str">
        <f aca="false">IF($C75="","",VLOOKUP($C75,coefs!$A:$V,4,FALSE()))</f>
        <v/>
      </c>
      <c r="V75" s="1" t="str">
        <f aca="false">IF($C75="","",VLOOKUP($C75,coefs!$A:$V,5,FALSE()))</f>
        <v/>
      </c>
      <c r="W75" s="1" t="str">
        <f aca="false">IF($C75="","",VLOOKUP($C75,coefs!$A:$V,6,FALSE()))</f>
        <v/>
      </c>
      <c r="X75" s="1" t="str">
        <f aca="false">IF($C75="","",VLOOKUP($C75,coefs!$A:$V,7,FALSE()))</f>
        <v/>
      </c>
      <c r="Y75" s="1" t="str">
        <f aca="false">IF($C75="","",VLOOKUP($C75,coefs!$A:$V,8,FALSE()))</f>
        <v/>
      </c>
      <c r="Z75" s="1" t="str">
        <f aca="false">IF($C75="","",VLOOKUP($C75,coefs!$A:$V,9,FALSE()))</f>
        <v/>
      </c>
      <c r="AA75" s="1" t="str">
        <f aca="false">IF($C75="","",VLOOKUP($C75,coefs!$A:$V,10,FALSE()))</f>
        <v/>
      </c>
      <c r="AB75" s="1" t="str">
        <f aca="false">IF($C75="","",VLOOKUP($C75,coefs!$A:$V,11,FALSE()))</f>
        <v/>
      </c>
      <c r="AC75" s="1" t="str">
        <f aca="false">IF($C75="","",VLOOKUP($C75,coefs!$A:$V,12,FALSE()))</f>
        <v/>
      </c>
      <c r="AD75" s="1" t="str">
        <f aca="false">IF($C75="","",VLOOKUP($C75,coefs!$A:$V,13,FALSE()))</f>
        <v/>
      </c>
      <c r="AE75" s="1" t="str">
        <f aca="false">IF($C75="","",VLOOKUP($C75,coefs!$A:$V,14,FALSE()))</f>
        <v/>
      </c>
      <c r="AF75" s="1" t="str">
        <f aca="false">IF($C75="","",VLOOKUP($C75,coefs!$A:$V,15,FALSE()))</f>
        <v/>
      </c>
      <c r="AG75" s="1" t="str">
        <f aca="false">IF($C75="","",VLOOKUP($C75,coefs!$A:$V,16,FALSE()))</f>
        <v/>
      </c>
      <c r="AH75" s="1" t="str">
        <f aca="false">IF($C75="","",VLOOKUP($C75,coefs!$A:$V,17,FALSE()))</f>
        <v/>
      </c>
      <c r="AI75" s="1" t="str">
        <f aca="false">IF($C75="","",VLOOKUP($C75,coefs!$A:$V,18,FALSE()))</f>
        <v/>
      </c>
      <c r="AJ75" s="1" t="str">
        <f aca="false">IF($C75="","",VLOOKUP($C75,coefs!$A:$V,19,FALSE()))</f>
        <v/>
      </c>
      <c r="AK75" s="1" t="str">
        <f aca="false">IF($C75="","",VLOOKUP($C75,coefs!$A:$V,20,FALSE()))</f>
        <v/>
      </c>
      <c r="AL75" s="1" t="str">
        <f aca="false">IF($C75="","",VLOOKUP($C75,coefs!$A:$V,21,FALSE()))</f>
        <v/>
      </c>
      <c r="AM75" s="1" t="str">
        <f aca="false">IF($C75="","",VLOOKUP($C75,coefs!$A:$V,22,FALSE()))</f>
        <v/>
      </c>
    </row>
    <row r="76" customFormat="false" ht="15" hidden="false" customHeight="true" outlineLevel="0" collapsed="false">
      <c r="A76" s="14"/>
      <c r="B76" s="14"/>
      <c r="C76" s="14"/>
      <c r="D76" s="15"/>
      <c r="E76" s="16"/>
      <c r="F76" s="16"/>
      <c r="G76" s="16"/>
      <c r="H76" s="17"/>
      <c r="I76" s="16"/>
      <c r="J76" s="16"/>
      <c r="K76" s="17"/>
      <c r="L76" s="17"/>
      <c r="M76" s="15" t="str">
        <f aca="false">IFERROR(IF(OR($C76="",$D76=""),"",IF($C76="Pinus pinaster",S76/(1+T76*EXP(-U76*$D76)),IF($C76="Quercus pyrenaica",S76*EXP(T76*EXP(-U76*$D76)),1.3+EXP(S76*EXP(-T76*$D76^(-U76)))))),"")</f>
        <v/>
      </c>
      <c r="N76" s="15" t="str">
        <f aca="false">IFERROR(IF($C76="Pinus sylvestris",IF(OR($D76="",$E76="",$F76=""),"",1.3+EXP((V76+W76*$E76)*EXP(-(X76+Y76*$F76)*$D76^(-(Z76+AA76*$E76))))),IF($C76="Pinus nigra",IF(OR($D76="",$E76="",$F76="",$J76=""),"",1.3+EXP((V76+W76*$J76)*EXP(-(X76+Y76*$F76)*$D76^(-(Z76+AA76*$E76))))),IF($C76="Pinus pinaster",IF(OR($D76="",$E76="",$H76="",$F76=""),"",(V76+W76*$E76)/(1+(X76+Y76*$H76)*EXP(-(Z76+AA76*$F76)*$D76))),IF($C76="Quercus pyrenaica",IF(OR($D76="",$E76="",$G76="",$J76=""),"",(V76+W76*$E76)*EXP((X76+Y76*$G76)*EXP(-(Z76+AA76*$J76)*$D76))),"")))),"")</f>
        <v/>
      </c>
      <c r="O76" s="15" t="str">
        <f aca="false">IFERROR(IF($C76="Pinus sylvestris",IF(OR($D76="",$H76="",$I76="",$J76=""),"",1.3+EXP((AB76+AC76*$H76)*EXP(-(AD76+AE76*$I76)*$D76^(-(AF76+AG76*$J76))))),IF($C76="Pinus nigra",IF(OR($D76="",$H76="",$L76="",$I76=""),"",1.3+EXP((AB76+AC76*$H76)*EXP(-(AD76+AE76*$L76)*$D76^(-(AF76+AG76*$I76))))),IF($C76="Pinus pinaster",IF(OR($D76="",$I76="",$K76=""),"",(AB76+AC76*$I76)/(1+(AD76+AE76*$K76)*EXP(-(AF76+AG76*$I76)*$D76))),IF($C76="Quercus pyrenaica",IF(OR($D76="",$L76="",$J76="",$I76=""),"",(AB76+AC76*$L76)*EXP((AD76+AE76*$J76)*EXP(-(AF76+AG76*$I76)*$D76))),"")))),"")</f>
        <v/>
      </c>
      <c r="P76" s="15" t="str">
        <f aca="false">IFERROR(IF(OR($C76="",$D76="",$E76="",$G76=""),"",1.3+(AH76+AI76*$E76-AJ76*$G76)*EXP(-AK76/SQRT($D76))),"")</f>
        <v/>
      </c>
      <c r="Q76" s="15" t="str">
        <f aca="false">IFERROR(IF(OR($C76="",$D76=""),"",1.3+AL76*(LN(1+$D76))^AM76),"")</f>
        <v/>
      </c>
      <c r="S76" s="1" t="str">
        <f aca="false">IF($C76="","",VLOOKUP($C76,coefs!$A:$V,2,FALSE()))</f>
        <v/>
      </c>
      <c r="T76" s="1" t="str">
        <f aca="false">IF($C76="","",VLOOKUP($C76,coefs!$A:$V,3,FALSE()))</f>
        <v/>
      </c>
      <c r="U76" s="1" t="str">
        <f aca="false">IF($C76="","",VLOOKUP($C76,coefs!$A:$V,4,FALSE()))</f>
        <v/>
      </c>
      <c r="V76" s="1" t="str">
        <f aca="false">IF($C76="","",VLOOKUP($C76,coefs!$A:$V,5,FALSE()))</f>
        <v/>
      </c>
      <c r="W76" s="1" t="str">
        <f aca="false">IF($C76="","",VLOOKUP($C76,coefs!$A:$V,6,FALSE()))</f>
        <v/>
      </c>
      <c r="X76" s="1" t="str">
        <f aca="false">IF($C76="","",VLOOKUP($C76,coefs!$A:$V,7,FALSE()))</f>
        <v/>
      </c>
      <c r="Y76" s="1" t="str">
        <f aca="false">IF($C76="","",VLOOKUP($C76,coefs!$A:$V,8,FALSE()))</f>
        <v/>
      </c>
      <c r="Z76" s="1" t="str">
        <f aca="false">IF($C76="","",VLOOKUP($C76,coefs!$A:$V,9,FALSE()))</f>
        <v/>
      </c>
      <c r="AA76" s="1" t="str">
        <f aca="false">IF($C76="","",VLOOKUP($C76,coefs!$A:$V,10,FALSE()))</f>
        <v/>
      </c>
      <c r="AB76" s="1" t="str">
        <f aca="false">IF($C76="","",VLOOKUP($C76,coefs!$A:$V,11,FALSE()))</f>
        <v/>
      </c>
      <c r="AC76" s="1" t="str">
        <f aca="false">IF($C76="","",VLOOKUP($C76,coefs!$A:$V,12,FALSE()))</f>
        <v/>
      </c>
      <c r="AD76" s="1" t="str">
        <f aca="false">IF($C76="","",VLOOKUP($C76,coefs!$A:$V,13,FALSE()))</f>
        <v/>
      </c>
      <c r="AE76" s="1" t="str">
        <f aca="false">IF($C76="","",VLOOKUP($C76,coefs!$A:$V,14,FALSE()))</f>
        <v/>
      </c>
      <c r="AF76" s="1" t="str">
        <f aca="false">IF($C76="","",VLOOKUP($C76,coefs!$A:$V,15,FALSE()))</f>
        <v/>
      </c>
      <c r="AG76" s="1" t="str">
        <f aca="false">IF($C76="","",VLOOKUP($C76,coefs!$A:$V,16,FALSE()))</f>
        <v/>
      </c>
      <c r="AH76" s="1" t="str">
        <f aca="false">IF($C76="","",VLOOKUP($C76,coefs!$A:$V,17,FALSE()))</f>
        <v/>
      </c>
      <c r="AI76" s="1" t="str">
        <f aca="false">IF($C76="","",VLOOKUP($C76,coefs!$A:$V,18,FALSE()))</f>
        <v/>
      </c>
      <c r="AJ76" s="1" t="str">
        <f aca="false">IF($C76="","",VLOOKUP($C76,coefs!$A:$V,19,FALSE()))</f>
        <v/>
      </c>
      <c r="AK76" s="1" t="str">
        <f aca="false">IF($C76="","",VLOOKUP($C76,coefs!$A:$V,20,FALSE()))</f>
        <v/>
      </c>
      <c r="AL76" s="1" t="str">
        <f aca="false">IF($C76="","",VLOOKUP($C76,coefs!$A:$V,21,FALSE()))</f>
        <v/>
      </c>
      <c r="AM76" s="1" t="str">
        <f aca="false">IF($C76="","",VLOOKUP($C76,coefs!$A:$V,22,FALSE()))</f>
        <v/>
      </c>
    </row>
    <row r="77" customFormat="false" ht="15" hidden="false" customHeight="true" outlineLevel="0" collapsed="false">
      <c r="A77" s="14"/>
      <c r="B77" s="14"/>
      <c r="C77" s="14"/>
      <c r="D77" s="15"/>
      <c r="E77" s="16"/>
      <c r="F77" s="16"/>
      <c r="G77" s="16"/>
      <c r="H77" s="17"/>
      <c r="I77" s="16"/>
      <c r="J77" s="16"/>
      <c r="K77" s="17"/>
      <c r="L77" s="17"/>
      <c r="M77" s="15" t="str">
        <f aca="false">IFERROR(IF(OR($C77="",$D77=""),"",IF($C77="Pinus pinaster",S77/(1+T77*EXP(-U77*$D77)),IF($C77="Quercus pyrenaica",S77*EXP(T77*EXP(-U77*$D77)),1.3+EXP(S77*EXP(-T77*$D77^(-U77)))))),"")</f>
        <v/>
      </c>
      <c r="N77" s="15" t="str">
        <f aca="false">IFERROR(IF($C77="Pinus sylvestris",IF(OR($D77="",$E77="",$F77=""),"",1.3+EXP((V77+W77*$E77)*EXP(-(X77+Y77*$F77)*$D77^(-(Z77+AA77*$E77))))),IF($C77="Pinus nigra",IF(OR($D77="",$E77="",$F77="",$J77=""),"",1.3+EXP((V77+W77*$J77)*EXP(-(X77+Y77*$F77)*$D77^(-(Z77+AA77*$E77))))),IF($C77="Pinus pinaster",IF(OR($D77="",$E77="",$H77="",$F77=""),"",(V77+W77*$E77)/(1+(X77+Y77*$H77)*EXP(-(Z77+AA77*$F77)*$D77))),IF($C77="Quercus pyrenaica",IF(OR($D77="",$E77="",$G77="",$J77=""),"",(V77+W77*$E77)*EXP((X77+Y77*$G77)*EXP(-(Z77+AA77*$J77)*$D77))),"")))),"")</f>
        <v/>
      </c>
      <c r="O77" s="15" t="str">
        <f aca="false">IFERROR(IF($C77="Pinus sylvestris",IF(OR($D77="",$H77="",$I77="",$J77=""),"",1.3+EXP((AB77+AC77*$H77)*EXP(-(AD77+AE77*$I77)*$D77^(-(AF77+AG77*$J77))))),IF($C77="Pinus nigra",IF(OR($D77="",$H77="",$L77="",$I77=""),"",1.3+EXP((AB77+AC77*$H77)*EXP(-(AD77+AE77*$L77)*$D77^(-(AF77+AG77*$I77))))),IF($C77="Pinus pinaster",IF(OR($D77="",$I77="",$K77=""),"",(AB77+AC77*$I77)/(1+(AD77+AE77*$K77)*EXP(-(AF77+AG77*$I77)*$D77))),IF($C77="Quercus pyrenaica",IF(OR($D77="",$L77="",$J77="",$I77=""),"",(AB77+AC77*$L77)*EXP((AD77+AE77*$J77)*EXP(-(AF77+AG77*$I77)*$D77))),"")))),"")</f>
        <v/>
      </c>
      <c r="P77" s="15" t="str">
        <f aca="false">IFERROR(IF(OR($C77="",$D77="",$E77="",$G77=""),"",1.3+(AH77+AI77*$E77-AJ77*$G77)*EXP(-AK77/SQRT($D77))),"")</f>
        <v/>
      </c>
      <c r="Q77" s="15" t="str">
        <f aca="false">IFERROR(IF(OR($C77="",$D77=""),"",1.3+AL77*(LN(1+$D77))^AM77),"")</f>
        <v/>
      </c>
      <c r="S77" s="1" t="str">
        <f aca="false">IF($C77="","",VLOOKUP($C77,coefs!$A:$V,2,FALSE()))</f>
        <v/>
      </c>
      <c r="T77" s="1" t="str">
        <f aca="false">IF($C77="","",VLOOKUP($C77,coefs!$A:$V,3,FALSE()))</f>
        <v/>
      </c>
      <c r="U77" s="1" t="str">
        <f aca="false">IF($C77="","",VLOOKUP($C77,coefs!$A:$V,4,FALSE()))</f>
        <v/>
      </c>
      <c r="V77" s="1" t="str">
        <f aca="false">IF($C77="","",VLOOKUP($C77,coefs!$A:$V,5,FALSE()))</f>
        <v/>
      </c>
      <c r="W77" s="1" t="str">
        <f aca="false">IF($C77="","",VLOOKUP($C77,coefs!$A:$V,6,FALSE()))</f>
        <v/>
      </c>
      <c r="X77" s="1" t="str">
        <f aca="false">IF($C77="","",VLOOKUP($C77,coefs!$A:$V,7,FALSE()))</f>
        <v/>
      </c>
      <c r="Y77" s="1" t="str">
        <f aca="false">IF($C77="","",VLOOKUP($C77,coefs!$A:$V,8,FALSE()))</f>
        <v/>
      </c>
      <c r="Z77" s="1" t="str">
        <f aca="false">IF($C77="","",VLOOKUP($C77,coefs!$A:$V,9,FALSE()))</f>
        <v/>
      </c>
      <c r="AA77" s="1" t="str">
        <f aca="false">IF($C77="","",VLOOKUP($C77,coefs!$A:$V,10,FALSE()))</f>
        <v/>
      </c>
      <c r="AB77" s="1" t="str">
        <f aca="false">IF($C77="","",VLOOKUP($C77,coefs!$A:$V,11,FALSE()))</f>
        <v/>
      </c>
      <c r="AC77" s="1" t="str">
        <f aca="false">IF($C77="","",VLOOKUP($C77,coefs!$A:$V,12,FALSE()))</f>
        <v/>
      </c>
      <c r="AD77" s="1" t="str">
        <f aca="false">IF($C77="","",VLOOKUP($C77,coefs!$A:$V,13,FALSE()))</f>
        <v/>
      </c>
      <c r="AE77" s="1" t="str">
        <f aca="false">IF($C77="","",VLOOKUP($C77,coefs!$A:$V,14,FALSE()))</f>
        <v/>
      </c>
      <c r="AF77" s="1" t="str">
        <f aca="false">IF($C77="","",VLOOKUP($C77,coefs!$A:$V,15,FALSE()))</f>
        <v/>
      </c>
      <c r="AG77" s="1" t="str">
        <f aca="false">IF($C77="","",VLOOKUP($C77,coefs!$A:$V,16,FALSE()))</f>
        <v/>
      </c>
      <c r="AH77" s="1" t="str">
        <f aca="false">IF($C77="","",VLOOKUP($C77,coefs!$A:$V,17,FALSE()))</f>
        <v/>
      </c>
      <c r="AI77" s="1" t="str">
        <f aca="false">IF($C77="","",VLOOKUP($C77,coefs!$A:$V,18,FALSE()))</f>
        <v/>
      </c>
      <c r="AJ77" s="1" t="str">
        <f aca="false">IF($C77="","",VLOOKUP($C77,coefs!$A:$V,19,FALSE()))</f>
        <v/>
      </c>
      <c r="AK77" s="1" t="str">
        <f aca="false">IF($C77="","",VLOOKUP($C77,coefs!$A:$V,20,FALSE()))</f>
        <v/>
      </c>
      <c r="AL77" s="1" t="str">
        <f aca="false">IF($C77="","",VLOOKUP($C77,coefs!$A:$V,21,FALSE()))</f>
        <v/>
      </c>
      <c r="AM77" s="1" t="str">
        <f aca="false">IF($C77="","",VLOOKUP($C77,coefs!$A:$V,22,FALSE()))</f>
        <v/>
      </c>
    </row>
    <row r="78" customFormat="false" ht="15" hidden="false" customHeight="true" outlineLevel="0" collapsed="false">
      <c r="A78" s="14"/>
      <c r="B78" s="14"/>
      <c r="C78" s="14"/>
      <c r="D78" s="15"/>
      <c r="E78" s="16"/>
      <c r="F78" s="16"/>
      <c r="G78" s="16"/>
      <c r="H78" s="17"/>
      <c r="I78" s="16"/>
      <c r="J78" s="16"/>
      <c r="K78" s="17"/>
      <c r="L78" s="17"/>
      <c r="M78" s="15" t="str">
        <f aca="false">IFERROR(IF(OR($C78="",$D78=""),"",IF($C78="Pinus pinaster",S78/(1+T78*EXP(-U78*$D78)),IF($C78="Quercus pyrenaica",S78*EXP(T78*EXP(-U78*$D78)),1.3+EXP(S78*EXP(-T78*$D78^(-U78)))))),"")</f>
        <v/>
      </c>
      <c r="N78" s="15" t="str">
        <f aca="false">IFERROR(IF($C78="Pinus sylvestris",IF(OR($D78="",$E78="",$F78=""),"",1.3+EXP((V78+W78*$E78)*EXP(-(X78+Y78*$F78)*$D78^(-(Z78+AA78*$E78))))),IF($C78="Pinus nigra",IF(OR($D78="",$E78="",$F78="",$J78=""),"",1.3+EXP((V78+W78*$J78)*EXP(-(X78+Y78*$F78)*$D78^(-(Z78+AA78*$E78))))),IF($C78="Pinus pinaster",IF(OR($D78="",$E78="",$H78="",$F78=""),"",(V78+W78*$E78)/(1+(X78+Y78*$H78)*EXP(-(Z78+AA78*$F78)*$D78))),IF($C78="Quercus pyrenaica",IF(OR($D78="",$E78="",$G78="",$J78=""),"",(V78+W78*$E78)*EXP((X78+Y78*$G78)*EXP(-(Z78+AA78*$J78)*$D78))),"")))),"")</f>
        <v/>
      </c>
      <c r="O78" s="15" t="str">
        <f aca="false">IFERROR(IF($C78="Pinus sylvestris",IF(OR($D78="",$H78="",$I78="",$J78=""),"",1.3+EXP((AB78+AC78*$H78)*EXP(-(AD78+AE78*$I78)*$D78^(-(AF78+AG78*$J78))))),IF($C78="Pinus nigra",IF(OR($D78="",$H78="",$L78="",$I78=""),"",1.3+EXP((AB78+AC78*$H78)*EXP(-(AD78+AE78*$L78)*$D78^(-(AF78+AG78*$I78))))),IF($C78="Pinus pinaster",IF(OR($D78="",$I78="",$K78=""),"",(AB78+AC78*$I78)/(1+(AD78+AE78*$K78)*EXP(-(AF78+AG78*$I78)*$D78))),IF($C78="Quercus pyrenaica",IF(OR($D78="",$L78="",$J78="",$I78=""),"",(AB78+AC78*$L78)*EXP((AD78+AE78*$J78)*EXP(-(AF78+AG78*$I78)*$D78))),"")))),"")</f>
        <v/>
      </c>
      <c r="P78" s="15" t="str">
        <f aca="false">IFERROR(IF(OR($C78="",$D78="",$E78="",$G78=""),"",1.3+(AH78+AI78*$E78-AJ78*$G78)*EXP(-AK78/SQRT($D78))),"")</f>
        <v/>
      </c>
      <c r="Q78" s="15" t="str">
        <f aca="false">IFERROR(IF(OR($C78="",$D78=""),"",1.3+AL78*(LN(1+$D78))^AM78),"")</f>
        <v/>
      </c>
      <c r="S78" s="1" t="str">
        <f aca="false">IF($C78="","",VLOOKUP($C78,coefs!$A:$V,2,FALSE()))</f>
        <v/>
      </c>
      <c r="T78" s="1" t="str">
        <f aca="false">IF($C78="","",VLOOKUP($C78,coefs!$A:$V,3,FALSE()))</f>
        <v/>
      </c>
      <c r="U78" s="1" t="str">
        <f aca="false">IF($C78="","",VLOOKUP($C78,coefs!$A:$V,4,FALSE()))</f>
        <v/>
      </c>
      <c r="V78" s="1" t="str">
        <f aca="false">IF($C78="","",VLOOKUP($C78,coefs!$A:$V,5,FALSE()))</f>
        <v/>
      </c>
      <c r="W78" s="1" t="str">
        <f aca="false">IF($C78="","",VLOOKUP($C78,coefs!$A:$V,6,FALSE()))</f>
        <v/>
      </c>
      <c r="X78" s="1" t="str">
        <f aca="false">IF($C78="","",VLOOKUP($C78,coefs!$A:$V,7,FALSE()))</f>
        <v/>
      </c>
      <c r="Y78" s="1" t="str">
        <f aca="false">IF($C78="","",VLOOKUP($C78,coefs!$A:$V,8,FALSE()))</f>
        <v/>
      </c>
      <c r="Z78" s="1" t="str">
        <f aca="false">IF($C78="","",VLOOKUP($C78,coefs!$A:$V,9,FALSE()))</f>
        <v/>
      </c>
      <c r="AA78" s="1" t="str">
        <f aca="false">IF($C78="","",VLOOKUP($C78,coefs!$A:$V,10,FALSE()))</f>
        <v/>
      </c>
      <c r="AB78" s="1" t="str">
        <f aca="false">IF($C78="","",VLOOKUP($C78,coefs!$A:$V,11,FALSE()))</f>
        <v/>
      </c>
      <c r="AC78" s="1" t="str">
        <f aca="false">IF($C78="","",VLOOKUP($C78,coefs!$A:$V,12,FALSE()))</f>
        <v/>
      </c>
      <c r="AD78" s="1" t="str">
        <f aca="false">IF($C78="","",VLOOKUP($C78,coefs!$A:$V,13,FALSE()))</f>
        <v/>
      </c>
      <c r="AE78" s="1" t="str">
        <f aca="false">IF($C78="","",VLOOKUP($C78,coefs!$A:$V,14,FALSE()))</f>
        <v/>
      </c>
      <c r="AF78" s="1" t="str">
        <f aca="false">IF($C78="","",VLOOKUP($C78,coefs!$A:$V,15,FALSE()))</f>
        <v/>
      </c>
      <c r="AG78" s="1" t="str">
        <f aca="false">IF($C78="","",VLOOKUP($C78,coefs!$A:$V,16,FALSE()))</f>
        <v/>
      </c>
      <c r="AH78" s="1" t="str">
        <f aca="false">IF($C78="","",VLOOKUP($C78,coefs!$A:$V,17,FALSE()))</f>
        <v/>
      </c>
      <c r="AI78" s="1" t="str">
        <f aca="false">IF($C78="","",VLOOKUP($C78,coefs!$A:$V,18,FALSE()))</f>
        <v/>
      </c>
      <c r="AJ78" s="1" t="str">
        <f aca="false">IF($C78="","",VLOOKUP($C78,coefs!$A:$V,19,FALSE()))</f>
        <v/>
      </c>
      <c r="AK78" s="1" t="str">
        <f aca="false">IF($C78="","",VLOOKUP($C78,coefs!$A:$V,20,FALSE()))</f>
        <v/>
      </c>
      <c r="AL78" s="1" t="str">
        <f aca="false">IF($C78="","",VLOOKUP($C78,coefs!$A:$V,21,FALSE()))</f>
        <v/>
      </c>
      <c r="AM78" s="1" t="str">
        <f aca="false">IF($C78="","",VLOOKUP($C78,coefs!$A:$V,22,FALSE()))</f>
        <v/>
      </c>
    </row>
    <row r="79" customFormat="false" ht="15" hidden="false" customHeight="true" outlineLevel="0" collapsed="false">
      <c r="A79" s="14"/>
      <c r="B79" s="14"/>
      <c r="C79" s="14"/>
      <c r="D79" s="15"/>
      <c r="E79" s="16"/>
      <c r="F79" s="16"/>
      <c r="G79" s="16"/>
      <c r="H79" s="17"/>
      <c r="I79" s="16"/>
      <c r="J79" s="16"/>
      <c r="K79" s="17"/>
      <c r="L79" s="17"/>
      <c r="M79" s="15" t="str">
        <f aca="false">IFERROR(IF(OR($C79="",$D79=""),"",IF($C79="Pinus pinaster",S79/(1+T79*EXP(-U79*$D79)),IF($C79="Quercus pyrenaica",S79*EXP(T79*EXP(-U79*$D79)),1.3+EXP(S79*EXP(-T79*$D79^(-U79)))))),"")</f>
        <v/>
      </c>
      <c r="N79" s="15" t="str">
        <f aca="false">IFERROR(IF($C79="Pinus sylvestris",IF(OR($D79="",$E79="",$F79=""),"",1.3+EXP((V79+W79*$E79)*EXP(-(X79+Y79*$F79)*$D79^(-(Z79+AA79*$E79))))),IF($C79="Pinus nigra",IF(OR($D79="",$E79="",$F79="",$J79=""),"",1.3+EXP((V79+W79*$J79)*EXP(-(X79+Y79*$F79)*$D79^(-(Z79+AA79*$E79))))),IF($C79="Pinus pinaster",IF(OR($D79="",$E79="",$H79="",$F79=""),"",(V79+W79*$E79)/(1+(X79+Y79*$H79)*EXP(-(Z79+AA79*$F79)*$D79))),IF($C79="Quercus pyrenaica",IF(OR($D79="",$E79="",$G79="",$J79=""),"",(V79+W79*$E79)*EXP((X79+Y79*$G79)*EXP(-(Z79+AA79*$J79)*$D79))),"")))),"")</f>
        <v/>
      </c>
      <c r="O79" s="15" t="str">
        <f aca="false">IFERROR(IF($C79="Pinus sylvestris",IF(OR($D79="",$H79="",$I79="",$J79=""),"",1.3+EXP((AB79+AC79*$H79)*EXP(-(AD79+AE79*$I79)*$D79^(-(AF79+AG79*$J79))))),IF($C79="Pinus nigra",IF(OR($D79="",$H79="",$L79="",$I79=""),"",1.3+EXP((AB79+AC79*$H79)*EXP(-(AD79+AE79*$L79)*$D79^(-(AF79+AG79*$I79))))),IF($C79="Pinus pinaster",IF(OR($D79="",$I79="",$K79=""),"",(AB79+AC79*$I79)/(1+(AD79+AE79*$K79)*EXP(-(AF79+AG79*$I79)*$D79))),IF($C79="Quercus pyrenaica",IF(OR($D79="",$L79="",$J79="",$I79=""),"",(AB79+AC79*$L79)*EXP((AD79+AE79*$J79)*EXP(-(AF79+AG79*$I79)*$D79))),"")))),"")</f>
        <v/>
      </c>
      <c r="P79" s="15" t="str">
        <f aca="false">IFERROR(IF(OR($C79="",$D79="",$E79="",$G79=""),"",1.3+(AH79+AI79*$E79-AJ79*$G79)*EXP(-AK79/SQRT($D79))),"")</f>
        <v/>
      </c>
      <c r="Q79" s="15" t="str">
        <f aca="false">IFERROR(IF(OR($C79="",$D79=""),"",1.3+AL79*(LN(1+$D79))^AM79),"")</f>
        <v/>
      </c>
      <c r="S79" s="1" t="str">
        <f aca="false">IF($C79="","",VLOOKUP($C79,coefs!$A:$V,2,FALSE()))</f>
        <v/>
      </c>
      <c r="T79" s="1" t="str">
        <f aca="false">IF($C79="","",VLOOKUP($C79,coefs!$A:$V,3,FALSE()))</f>
        <v/>
      </c>
      <c r="U79" s="1" t="str">
        <f aca="false">IF($C79="","",VLOOKUP($C79,coefs!$A:$V,4,FALSE()))</f>
        <v/>
      </c>
      <c r="V79" s="1" t="str">
        <f aca="false">IF($C79="","",VLOOKUP($C79,coefs!$A:$V,5,FALSE()))</f>
        <v/>
      </c>
      <c r="W79" s="1" t="str">
        <f aca="false">IF($C79="","",VLOOKUP($C79,coefs!$A:$V,6,FALSE()))</f>
        <v/>
      </c>
      <c r="X79" s="1" t="str">
        <f aca="false">IF($C79="","",VLOOKUP($C79,coefs!$A:$V,7,FALSE()))</f>
        <v/>
      </c>
      <c r="Y79" s="1" t="str">
        <f aca="false">IF($C79="","",VLOOKUP($C79,coefs!$A:$V,8,FALSE()))</f>
        <v/>
      </c>
      <c r="Z79" s="1" t="str">
        <f aca="false">IF($C79="","",VLOOKUP($C79,coefs!$A:$V,9,FALSE()))</f>
        <v/>
      </c>
      <c r="AA79" s="1" t="str">
        <f aca="false">IF($C79="","",VLOOKUP($C79,coefs!$A:$V,10,FALSE()))</f>
        <v/>
      </c>
      <c r="AB79" s="1" t="str">
        <f aca="false">IF($C79="","",VLOOKUP($C79,coefs!$A:$V,11,FALSE()))</f>
        <v/>
      </c>
      <c r="AC79" s="1" t="str">
        <f aca="false">IF($C79="","",VLOOKUP($C79,coefs!$A:$V,12,FALSE()))</f>
        <v/>
      </c>
      <c r="AD79" s="1" t="str">
        <f aca="false">IF($C79="","",VLOOKUP($C79,coefs!$A:$V,13,FALSE()))</f>
        <v/>
      </c>
      <c r="AE79" s="1" t="str">
        <f aca="false">IF($C79="","",VLOOKUP($C79,coefs!$A:$V,14,FALSE()))</f>
        <v/>
      </c>
      <c r="AF79" s="1" t="str">
        <f aca="false">IF($C79="","",VLOOKUP($C79,coefs!$A:$V,15,FALSE()))</f>
        <v/>
      </c>
      <c r="AG79" s="1" t="str">
        <f aca="false">IF($C79="","",VLOOKUP($C79,coefs!$A:$V,16,FALSE()))</f>
        <v/>
      </c>
      <c r="AH79" s="1" t="str">
        <f aca="false">IF($C79="","",VLOOKUP($C79,coefs!$A:$V,17,FALSE()))</f>
        <v/>
      </c>
      <c r="AI79" s="1" t="str">
        <f aca="false">IF($C79="","",VLOOKUP($C79,coefs!$A:$V,18,FALSE()))</f>
        <v/>
      </c>
      <c r="AJ79" s="1" t="str">
        <f aca="false">IF($C79="","",VLOOKUP($C79,coefs!$A:$V,19,FALSE()))</f>
        <v/>
      </c>
      <c r="AK79" s="1" t="str">
        <f aca="false">IF($C79="","",VLOOKUP($C79,coefs!$A:$V,20,FALSE()))</f>
        <v/>
      </c>
      <c r="AL79" s="1" t="str">
        <f aca="false">IF($C79="","",VLOOKUP($C79,coefs!$A:$V,21,FALSE()))</f>
        <v/>
      </c>
      <c r="AM79" s="1" t="str">
        <f aca="false">IF($C79="","",VLOOKUP($C79,coefs!$A:$V,22,FALSE()))</f>
        <v/>
      </c>
    </row>
    <row r="80" customFormat="false" ht="15" hidden="false" customHeight="true" outlineLevel="0" collapsed="false">
      <c r="A80" s="14"/>
      <c r="B80" s="14"/>
      <c r="C80" s="14"/>
      <c r="D80" s="15"/>
      <c r="E80" s="16"/>
      <c r="F80" s="16"/>
      <c r="G80" s="16"/>
      <c r="H80" s="17"/>
      <c r="I80" s="16"/>
      <c r="J80" s="16"/>
      <c r="K80" s="17"/>
      <c r="L80" s="17"/>
      <c r="M80" s="15" t="str">
        <f aca="false">IFERROR(IF(OR($C80="",$D80=""),"",IF($C80="Pinus pinaster",S80/(1+T80*EXP(-U80*$D80)),IF($C80="Quercus pyrenaica",S80*EXP(T80*EXP(-U80*$D80)),1.3+EXP(S80*EXP(-T80*$D80^(-U80)))))),"")</f>
        <v/>
      </c>
      <c r="N80" s="15" t="str">
        <f aca="false">IFERROR(IF($C80="Pinus sylvestris",IF(OR($D80="",$E80="",$F80=""),"",1.3+EXP((V80+W80*$E80)*EXP(-(X80+Y80*$F80)*$D80^(-(Z80+AA80*$E80))))),IF($C80="Pinus nigra",IF(OR($D80="",$E80="",$F80="",$J80=""),"",1.3+EXP((V80+W80*$J80)*EXP(-(X80+Y80*$F80)*$D80^(-(Z80+AA80*$E80))))),IF($C80="Pinus pinaster",IF(OR($D80="",$E80="",$H80="",$F80=""),"",(V80+W80*$E80)/(1+(X80+Y80*$H80)*EXP(-(Z80+AA80*$F80)*$D80))),IF($C80="Quercus pyrenaica",IF(OR($D80="",$E80="",$G80="",$J80=""),"",(V80+W80*$E80)*EXP((X80+Y80*$G80)*EXP(-(Z80+AA80*$J80)*$D80))),"")))),"")</f>
        <v/>
      </c>
      <c r="O80" s="15" t="str">
        <f aca="false">IFERROR(IF($C80="Pinus sylvestris",IF(OR($D80="",$H80="",$I80="",$J80=""),"",1.3+EXP((AB80+AC80*$H80)*EXP(-(AD80+AE80*$I80)*$D80^(-(AF80+AG80*$J80))))),IF($C80="Pinus nigra",IF(OR($D80="",$H80="",$L80="",$I80=""),"",1.3+EXP((AB80+AC80*$H80)*EXP(-(AD80+AE80*$L80)*$D80^(-(AF80+AG80*$I80))))),IF($C80="Pinus pinaster",IF(OR($D80="",$I80="",$K80=""),"",(AB80+AC80*$I80)/(1+(AD80+AE80*$K80)*EXP(-(AF80+AG80*$I80)*$D80))),IF($C80="Quercus pyrenaica",IF(OR($D80="",$L80="",$J80="",$I80=""),"",(AB80+AC80*$L80)*EXP((AD80+AE80*$J80)*EXP(-(AF80+AG80*$I80)*$D80))),"")))),"")</f>
        <v/>
      </c>
      <c r="P80" s="15" t="str">
        <f aca="false">IFERROR(IF(OR($C80="",$D80="",$E80="",$G80=""),"",1.3+(AH80+AI80*$E80-AJ80*$G80)*EXP(-AK80/SQRT($D80))),"")</f>
        <v/>
      </c>
      <c r="Q80" s="15" t="str">
        <f aca="false">IFERROR(IF(OR($C80="",$D80=""),"",1.3+AL80*(LN(1+$D80))^AM80),"")</f>
        <v/>
      </c>
      <c r="S80" s="1" t="str">
        <f aca="false">IF($C80="","",VLOOKUP($C80,coefs!$A:$V,2,FALSE()))</f>
        <v/>
      </c>
      <c r="T80" s="1" t="str">
        <f aca="false">IF($C80="","",VLOOKUP($C80,coefs!$A:$V,3,FALSE()))</f>
        <v/>
      </c>
      <c r="U80" s="1" t="str">
        <f aca="false">IF($C80="","",VLOOKUP($C80,coefs!$A:$V,4,FALSE()))</f>
        <v/>
      </c>
      <c r="V80" s="1" t="str">
        <f aca="false">IF($C80="","",VLOOKUP($C80,coefs!$A:$V,5,FALSE()))</f>
        <v/>
      </c>
      <c r="W80" s="1" t="str">
        <f aca="false">IF($C80="","",VLOOKUP($C80,coefs!$A:$V,6,FALSE()))</f>
        <v/>
      </c>
      <c r="X80" s="1" t="str">
        <f aca="false">IF($C80="","",VLOOKUP($C80,coefs!$A:$V,7,FALSE()))</f>
        <v/>
      </c>
      <c r="Y80" s="1" t="str">
        <f aca="false">IF($C80="","",VLOOKUP($C80,coefs!$A:$V,8,FALSE()))</f>
        <v/>
      </c>
      <c r="Z80" s="1" t="str">
        <f aca="false">IF($C80="","",VLOOKUP($C80,coefs!$A:$V,9,FALSE()))</f>
        <v/>
      </c>
      <c r="AA80" s="1" t="str">
        <f aca="false">IF($C80="","",VLOOKUP($C80,coefs!$A:$V,10,FALSE()))</f>
        <v/>
      </c>
      <c r="AB80" s="1" t="str">
        <f aca="false">IF($C80="","",VLOOKUP($C80,coefs!$A:$V,11,FALSE()))</f>
        <v/>
      </c>
      <c r="AC80" s="1" t="str">
        <f aca="false">IF($C80="","",VLOOKUP($C80,coefs!$A:$V,12,FALSE()))</f>
        <v/>
      </c>
      <c r="AD80" s="1" t="str">
        <f aca="false">IF($C80="","",VLOOKUP($C80,coefs!$A:$V,13,FALSE()))</f>
        <v/>
      </c>
      <c r="AE80" s="1" t="str">
        <f aca="false">IF($C80="","",VLOOKUP($C80,coefs!$A:$V,14,FALSE()))</f>
        <v/>
      </c>
      <c r="AF80" s="1" t="str">
        <f aca="false">IF($C80="","",VLOOKUP($C80,coefs!$A:$V,15,FALSE()))</f>
        <v/>
      </c>
      <c r="AG80" s="1" t="str">
        <f aca="false">IF($C80="","",VLOOKUP($C80,coefs!$A:$V,16,FALSE()))</f>
        <v/>
      </c>
      <c r="AH80" s="1" t="str">
        <f aca="false">IF($C80="","",VLOOKUP($C80,coefs!$A:$V,17,FALSE()))</f>
        <v/>
      </c>
      <c r="AI80" s="1" t="str">
        <f aca="false">IF($C80="","",VLOOKUP($C80,coefs!$A:$V,18,FALSE()))</f>
        <v/>
      </c>
      <c r="AJ80" s="1" t="str">
        <f aca="false">IF($C80="","",VLOOKUP($C80,coefs!$A:$V,19,FALSE()))</f>
        <v/>
      </c>
      <c r="AK80" s="1" t="str">
        <f aca="false">IF($C80="","",VLOOKUP($C80,coefs!$A:$V,20,FALSE()))</f>
        <v/>
      </c>
      <c r="AL80" s="1" t="str">
        <f aca="false">IF($C80="","",VLOOKUP($C80,coefs!$A:$V,21,FALSE()))</f>
        <v/>
      </c>
      <c r="AM80" s="1" t="str">
        <f aca="false">IF($C80="","",VLOOKUP($C80,coefs!$A:$V,22,FALSE()))</f>
        <v/>
      </c>
    </row>
    <row r="81" customFormat="false" ht="15" hidden="false" customHeight="true" outlineLevel="0" collapsed="false">
      <c r="A81" s="14"/>
      <c r="B81" s="14"/>
      <c r="C81" s="14"/>
      <c r="D81" s="15"/>
      <c r="E81" s="16"/>
      <c r="F81" s="16"/>
      <c r="G81" s="16"/>
      <c r="H81" s="17"/>
      <c r="I81" s="16"/>
      <c r="J81" s="16"/>
      <c r="K81" s="17"/>
      <c r="L81" s="17"/>
      <c r="M81" s="15" t="str">
        <f aca="false">IFERROR(IF(OR($C81="",$D81=""),"",IF($C81="Pinus pinaster",S81/(1+T81*EXP(-U81*$D81)),IF($C81="Quercus pyrenaica",S81*EXP(T81*EXP(-U81*$D81)),1.3+EXP(S81*EXP(-T81*$D81^(-U81)))))),"")</f>
        <v/>
      </c>
      <c r="N81" s="15" t="str">
        <f aca="false">IFERROR(IF($C81="Pinus sylvestris",IF(OR($D81="",$E81="",$F81=""),"",1.3+EXP((V81+W81*$E81)*EXP(-(X81+Y81*$F81)*$D81^(-(Z81+AA81*$E81))))),IF($C81="Pinus nigra",IF(OR($D81="",$E81="",$F81="",$J81=""),"",1.3+EXP((V81+W81*$J81)*EXP(-(X81+Y81*$F81)*$D81^(-(Z81+AA81*$E81))))),IF($C81="Pinus pinaster",IF(OR($D81="",$E81="",$H81="",$F81=""),"",(V81+W81*$E81)/(1+(X81+Y81*$H81)*EXP(-(Z81+AA81*$F81)*$D81))),IF($C81="Quercus pyrenaica",IF(OR($D81="",$E81="",$G81="",$J81=""),"",(V81+W81*$E81)*EXP((X81+Y81*$G81)*EXP(-(Z81+AA81*$J81)*$D81))),"")))),"")</f>
        <v/>
      </c>
      <c r="O81" s="15" t="str">
        <f aca="false">IFERROR(IF($C81="Pinus sylvestris",IF(OR($D81="",$H81="",$I81="",$J81=""),"",1.3+EXP((AB81+AC81*$H81)*EXP(-(AD81+AE81*$I81)*$D81^(-(AF81+AG81*$J81))))),IF($C81="Pinus nigra",IF(OR($D81="",$H81="",$L81="",$I81=""),"",1.3+EXP((AB81+AC81*$H81)*EXP(-(AD81+AE81*$L81)*$D81^(-(AF81+AG81*$I81))))),IF($C81="Pinus pinaster",IF(OR($D81="",$I81="",$K81=""),"",(AB81+AC81*$I81)/(1+(AD81+AE81*$K81)*EXP(-(AF81+AG81*$I81)*$D81))),IF($C81="Quercus pyrenaica",IF(OR($D81="",$L81="",$J81="",$I81=""),"",(AB81+AC81*$L81)*EXP((AD81+AE81*$J81)*EXP(-(AF81+AG81*$I81)*$D81))),"")))),"")</f>
        <v/>
      </c>
      <c r="P81" s="15" t="str">
        <f aca="false">IFERROR(IF(OR($C81="",$D81="",$E81="",$G81=""),"",1.3+(AH81+AI81*$E81-AJ81*$G81)*EXP(-AK81/SQRT($D81))),"")</f>
        <v/>
      </c>
      <c r="Q81" s="15" t="str">
        <f aca="false">IFERROR(IF(OR($C81="",$D81=""),"",1.3+AL81*(LN(1+$D81))^AM81),"")</f>
        <v/>
      </c>
      <c r="S81" s="1" t="str">
        <f aca="false">IF($C81="","",VLOOKUP($C81,coefs!$A:$V,2,FALSE()))</f>
        <v/>
      </c>
      <c r="T81" s="1" t="str">
        <f aca="false">IF($C81="","",VLOOKUP($C81,coefs!$A:$V,3,FALSE()))</f>
        <v/>
      </c>
      <c r="U81" s="1" t="str">
        <f aca="false">IF($C81="","",VLOOKUP($C81,coefs!$A:$V,4,FALSE()))</f>
        <v/>
      </c>
      <c r="V81" s="1" t="str">
        <f aca="false">IF($C81="","",VLOOKUP($C81,coefs!$A:$V,5,FALSE()))</f>
        <v/>
      </c>
      <c r="W81" s="1" t="str">
        <f aca="false">IF($C81="","",VLOOKUP($C81,coefs!$A:$V,6,FALSE()))</f>
        <v/>
      </c>
      <c r="X81" s="1" t="str">
        <f aca="false">IF($C81="","",VLOOKUP($C81,coefs!$A:$V,7,FALSE()))</f>
        <v/>
      </c>
      <c r="Y81" s="1" t="str">
        <f aca="false">IF($C81="","",VLOOKUP($C81,coefs!$A:$V,8,FALSE()))</f>
        <v/>
      </c>
      <c r="Z81" s="1" t="str">
        <f aca="false">IF($C81="","",VLOOKUP($C81,coefs!$A:$V,9,FALSE()))</f>
        <v/>
      </c>
      <c r="AA81" s="1" t="str">
        <f aca="false">IF($C81="","",VLOOKUP($C81,coefs!$A:$V,10,FALSE()))</f>
        <v/>
      </c>
      <c r="AB81" s="1" t="str">
        <f aca="false">IF($C81="","",VLOOKUP($C81,coefs!$A:$V,11,FALSE()))</f>
        <v/>
      </c>
      <c r="AC81" s="1" t="str">
        <f aca="false">IF($C81="","",VLOOKUP($C81,coefs!$A:$V,12,FALSE()))</f>
        <v/>
      </c>
      <c r="AD81" s="1" t="str">
        <f aca="false">IF($C81="","",VLOOKUP($C81,coefs!$A:$V,13,FALSE()))</f>
        <v/>
      </c>
      <c r="AE81" s="1" t="str">
        <f aca="false">IF($C81="","",VLOOKUP($C81,coefs!$A:$V,14,FALSE()))</f>
        <v/>
      </c>
      <c r="AF81" s="1" t="str">
        <f aca="false">IF($C81="","",VLOOKUP($C81,coefs!$A:$V,15,FALSE()))</f>
        <v/>
      </c>
      <c r="AG81" s="1" t="str">
        <f aca="false">IF($C81="","",VLOOKUP($C81,coefs!$A:$V,16,FALSE()))</f>
        <v/>
      </c>
      <c r="AH81" s="1" t="str">
        <f aca="false">IF($C81="","",VLOOKUP($C81,coefs!$A:$V,17,FALSE()))</f>
        <v/>
      </c>
      <c r="AI81" s="1" t="str">
        <f aca="false">IF($C81="","",VLOOKUP($C81,coefs!$A:$V,18,FALSE()))</f>
        <v/>
      </c>
      <c r="AJ81" s="1" t="str">
        <f aca="false">IF($C81="","",VLOOKUP($C81,coefs!$A:$V,19,FALSE()))</f>
        <v/>
      </c>
      <c r="AK81" s="1" t="str">
        <f aca="false">IF($C81="","",VLOOKUP($C81,coefs!$A:$V,20,FALSE()))</f>
        <v/>
      </c>
      <c r="AL81" s="1" t="str">
        <f aca="false">IF($C81="","",VLOOKUP($C81,coefs!$A:$V,21,FALSE()))</f>
        <v/>
      </c>
      <c r="AM81" s="1" t="str">
        <f aca="false">IF($C81="","",VLOOKUP($C81,coefs!$A:$V,22,FALSE()))</f>
        <v/>
      </c>
    </row>
    <row r="82" customFormat="false" ht="15" hidden="false" customHeight="true" outlineLevel="0" collapsed="false">
      <c r="A82" s="14"/>
      <c r="B82" s="14"/>
      <c r="C82" s="14"/>
      <c r="D82" s="15"/>
      <c r="E82" s="16"/>
      <c r="F82" s="16"/>
      <c r="G82" s="16"/>
      <c r="H82" s="17"/>
      <c r="I82" s="16"/>
      <c r="J82" s="16"/>
      <c r="K82" s="17"/>
      <c r="L82" s="17"/>
      <c r="M82" s="15" t="str">
        <f aca="false">IFERROR(IF(OR($C82="",$D82=""),"",IF($C82="Pinus pinaster",S82/(1+T82*EXP(-U82*$D82)),IF($C82="Quercus pyrenaica",S82*EXP(T82*EXP(-U82*$D82)),1.3+EXP(S82*EXP(-T82*$D82^(-U82)))))),"")</f>
        <v/>
      </c>
      <c r="N82" s="15" t="str">
        <f aca="false">IFERROR(IF($C82="Pinus sylvestris",IF(OR($D82="",$E82="",$F82=""),"",1.3+EXP((V82+W82*$E82)*EXP(-(X82+Y82*$F82)*$D82^(-(Z82+AA82*$E82))))),IF($C82="Pinus nigra",IF(OR($D82="",$E82="",$F82="",$J82=""),"",1.3+EXP((V82+W82*$J82)*EXP(-(X82+Y82*$F82)*$D82^(-(Z82+AA82*$E82))))),IF($C82="Pinus pinaster",IF(OR($D82="",$E82="",$H82="",$F82=""),"",(V82+W82*$E82)/(1+(X82+Y82*$H82)*EXP(-(Z82+AA82*$F82)*$D82))),IF($C82="Quercus pyrenaica",IF(OR($D82="",$E82="",$G82="",$J82=""),"",(V82+W82*$E82)*EXP((X82+Y82*$G82)*EXP(-(Z82+AA82*$J82)*$D82))),"")))),"")</f>
        <v/>
      </c>
      <c r="O82" s="15" t="str">
        <f aca="false">IFERROR(IF($C82="Pinus sylvestris",IF(OR($D82="",$H82="",$I82="",$J82=""),"",1.3+EXP((AB82+AC82*$H82)*EXP(-(AD82+AE82*$I82)*$D82^(-(AF82+AG82*$J82))))),IF($C82="Pinus nigra",IF(OR($D82="",$H82="",$L82="",$I82=""),"",1.3+EXP((AB82+AC82*$H82)*EXP(-(AD82+AE82*$L82)*$D82^(-(AF82+AG82*$I82))))),IF($C82="Pinus pinaster",IF(OR($D82="",$I82="",$K82=""),"",(AB82+AC82*$I82)/(1+(AD82+AE82*$K82)*EXP(-(AF82+AG82*$I82)*$D82))),IF($C82="Quercus pyrenaica",IF(OR($D82="",$L82="",$J82="",$I82=""),"",(AB82+AC82*$L82)*EXP((AD82+AE82*$J82)*EXP(-(AF82+AG82*$I82)*$D82))),"")))),"")</f>
        <v/>
      </c>
      <c r="P82" s="15" t="str">
        <f aca="false">IFERROR(IF(OR($C82="",$D82="",$E82="",$G82=""),"",1.3+(AH82+AI82*$E82-AJ82*$G82)*EXP(-AK82/SQRT($D82))),"")</f>
        <v/>
      </c>
      <c r="Q82" s="15" t="str">
        <f aca="false">IFERROR(IF(OR($C82="",$D82=""),"",1.3+AL82*(LN(1+$D82))^AM82),"")</f>
        <v/>
      </c>
      <c r="S82" s="1" t="str">
        <f aca="false">IF($C82="","",VLOOKUP($C82,coefs!$A:$V,2,FALSE()))</f>
        <v/>
      </c>
      <c r="T82" s="1" t="str">
        <f aca="false">IF($C82="","",VLOOKUP($C82,coefs!$A:$V,3,FALSE()))</f>
        <v/>
      </c>
      <c r="U82" s="1" t="str">
        <f aca="false">IF($C82="","",VLOOKUP($C82,coefs!$A:$V,4,FALSE()))</f>
        <v/>
      </c>
      <c r="V82" s="1" t="str">
        <f aca="false">IF($C82="","",VLOOKUP($C82,coefs!$A:$V,5,FALSE()))</f>
        <v/>
      </c>
      <c r="W82" s="1" t="str">
        <f aca="false">IF($C82="","",VLOOKUP($C82,coefs!$A:$V,6,FALSE()))</f>
        <v/>
      </c>
      <c r="X82" s="1" t="str">
        <f aca="false">IF($C82="","",VLOOKUP($C82,coefs!$A:$V,7,FALSE()))</f>
        <v/>
      </c>
      <c r="Y82" s="1" t="str">
        <f aca="false">IF($C82="","",VLOOKUP($C82,coefs!$A:$V,8,FALSE()))</f>
        <v/>
      </c>
      <c r="Z82" s="1" t="str">
        <f aca="false">IF($C82="","",VLOOKUP($C82,coefs!$A:$V,9,FALSE()))</f>
        <v/>
      </c>
      <c r="AA82" s="1" t="str">
        <f aca="false">IF($C82="","",VLOOKUP($C82,coefs!$A:$V,10,FALSE()))</f>
        <v/>
      </c>
      <c r="AB82" s="1" t="str">
        <f aca="false">IF($C82="","",VLOOKUP($C82,coefs!$A:$V,11,FALSE()))</f>
        <v/>
      </c>
      <c r="AC82" s="1" t="str">
        <f aca="false">IF($C82="","",VLOOKUP($C82,coefs!$A:$V,12,FALSE()))</f>
        <v/>
      </c>
      <c r="AD82" s="1" t="str">
        <f aca="false">IF($C82="","",VLOOKUP($C82,coefs!$A:$V,13,FALSE()))</f>
        <v/>
      </c>
      <c r="AE82" s="1" t="str">
        <f aca="false">IF($C82="","",VLOOKUP($C82,coefs!$A:$V,14,FALSE()))</f>
        <v/>
      </c>
      <c r="AF82" s="1" t="str">
        <f aca="false">IF($C82="","",VLOOKUP($C82,coefs!$A:$V,15,FALSE()))</f>
        <v/>
      </c>
      <c r="AG82" s="1" t="str">
        <f aca="false">IF($C82="","",VLOOKUP($C82,coefs!$A:$V,16,FALSE()))</f>
        <v/>
      </c>
      <c r="AH82" s="1" t="str">
        <f aca="false">IF($C82="","",VLOOKUP($C82,coefs!$A:$V,17,FALSE()))</f>
        <v/>
      </c>
      <c r="AI82" s="1" t="str">
        <f aca="false">IF($C82="","",VLOOKUP($C82,coefs!$A:$V,18,FALSE()))</f>
        <v/>
      </c>
      <c r="AJ82" s="1" t="str">
        <f aca="false">IF($C82="","",VLOOKUP($C82,coefs!$A:$V,19,FALSE()))</f>
        <v/>
      </c>
      <c r="AK82" s="1" t="str">
        <f aca="false">IF($C82="","",VLOOKUP($C82,coefs!$A:$V,20,FALSE()))</f>
        <v/>
      </c>
      <c r="AL82" s="1" t="str">
        <f aca="false">IF($C82="","",VLOOKUP($C82,coefs!$A:$V,21,FALSE()))</f>
        <v/>
      </c>
      <c r="AM82" s="1" t="str">
        <f aca="false">IF($C82="","",VLOOKUP($C82,coefs!$A:$V,22,FALSE()))</f>
        <v/>
      </c>
    </row>
    <row r="83" customFormat="false" ht="15" hidden="false" customHeight="true" outlineLevel="0" collapsed="false">
      <c r="A83" s="14"/>
      <c r="B83" s="14"/>
      <c r="C83" s="14"/>
      <c r="D83" s="15"/>
      <c r="E83" s="16"/>
      <c r="F83" s="16"/>
      <c r="G83" s="16"/>
      <c r="H83" s="17"/>
      <c r="I83" s="16"/>
      <c r="J83" s="16"/>
      <c r="K83" s="17"/>
      <c r="L83" s="17"/>
      <c r="M83" s="15" t="str">
        <f aca="false">IFERROR(IF(OR($C83="",$D83=""),"",IF($C83="Pinus pinaster",S83/(1+T83*EXP(-U83*$D83)),IF($C83="Quercus pyrenaica",S83*EXP(T83*EXP(-U83*$D83)),1.3+EXP(S83*EXP(-T83*$D83^(-U83)))))),"")</f>
        <v/>
      </c>
      <c r="N83" s="15" t="str">
        <f aca="false">IFERROR(IF($C83="Pinus sylvestris",IF(OR($D83="",$E83="",$F83=""),"",1.3+EXP((V83+W83*$E83)*EXP(-(X83+Y83*$F83)*$D83^(-(Z83+AA83*$E83))))),IF($C83="Pinus nigra",IF(OR($D83="",$E83="",$F83="",$J83=""),"",1.3+EXP((V83+W83*$J83)*EXP(-(X83+Y83*$F83)*$D83^(-(Z83+AA83*$E83))))),IF($C83="Pinus pinaster",IF(OR($D83="",$E83="",$H83="",$F83=""),"",(V83+W83*$E83)/(1+(X83+Y83*$H83)*EXP(-(Z83+AA83*$F83)*$D83))),IF($C83="Quercus pyrenaica",IF(OR($D83="",$E83="",$G83="",$J83=""),"",(V83+W83*$E83)*EXP((X83+Y83*$G83)*EXP(-(Z83+AA83*$J83)*$D83))),"")))),"")</f>
        <v/>
      </c>
      <c r="O83" s="15" t="str">
        <f aca="false">IFERROR(IF($C83="Pinus sylvestris",IF(OR($D83="",$H83="",$I83="",$J83=""),"",1.3+EXP((AB83+AC83*$H83)*EXP(-(AD83+AE83*$I83)*$D83^(-(AF83+AG83*$J83))))),IF($C83="Pinus nigra",IF(OR($D83="",$H83="",$L83="",$I83=""),"",1.3+EXP((AB83+AC83*$H83)*EXP(-(AD83+AE83*$L83)*$D83^(-(AF83+AG83*$I83))))),IF($C83="Pinus pinaster",IF(OR($D83="",$I83="",$K83=""),"",(AB83+AC83*$I83)/(1+(AD83+AE83*$K83)*EXP(-(AF83+AG83*$I83)*$D83))),IF($C83="Quercus pyrenaica",IF(OR($D83="",$L83="",$J83="",$I83=""),"",(AB83+AC83*$L83)*EXP((AD83+AE83*$J83)*EXP(-(AF83+AG83*$I83)*$D83))),"")))),"")</f>
        <v/>
      </c>
      <c r="P83" s="15" t="str">
        <f aca="false">IFERROR(IF(OR($C83="",$D83="",$E83="",$G83=""),"",1.3+(AH83+AI83*$E83-AJ83*$G83)*EXP(-AK83/SQRT($D83))),"")</f>
        <v/>
      </c>
      <c r="Q83" s="15" t="str">
        <f aca="false">IFERROR(IF(OR($C83="",$D83=""),"",1.3+AL83*(LN(1+$D83))^AM83),"")</f>
        <v/>
      </c>
      <c r="S83" s="1" t="str">
        <f aca="false">IF($C83="","",VLOOKUP($C83,coefs!$A:$V,2,FALSE()))</f>
        <v/>
      </c>
      <c r="T83" s="1" t="str">
        <f aca="false">IF($C83="","",VLOOKUP($C83,coefs!$A:$V,3,FALSE()))</f>
        <v/>
      </c>
      <c r="U83" s="1" t="str">
        <f aca="false">IF($C83="","",VLOOKUP($C83,coefs!$A:$V,4,FALSE()))</f>
        <v/>
      </c>
      <c r="V83" s="1" t="str">
        <f aca="false">IF($C83="","",VLOOKUP($C83,coefs!$A:$V,5,FALSE()))</f>
        <v/>
      </c>
      <c r="W83" s="1" t="str">
        <f aca="false">IF($C83="","",VLOOKUP($C83,coefs!$A:$V,6,FALSE()))</f>
        <v/>
      </c>
      <c r="X83" s="1" t="str">
        <f aca="false">IF($C83="","",VLOOKUP($C83,coefs!$A:$V,7,FALSE()))</f>
        <v/>
      </c>
      <c r="Y83" s="1" t="str">
        <f aca="false">IF($C83="","",VLOOKUP($C83,coefs!$A:$V,8,FALSE()))</f>
        <v/>
      </c>
      <c r="Z83" s="1" t="str">
        <f aca="false">IF($C83="","",VLOOKUP($C83,coefs!$A:$V,9,FALSE()))</f>
        <v/>
      </c>
      <c r="AA83" s="1" t="str">
        <f aca="false">IF($C83="","",VLOOKUP($C83,coefs!$A:$V,10,FALSE()))</f>
        <v/>
      </c>
      <c r="AB83" s="1" t="str">
        <f aca="false">IF($C83="","",VLOOKUP($C83,coefs!$A:$V,11,FALSE()))</f>
        <v/>
      </c>
      <c r="AC83" s="1" t="str">
        <f aca="false">IF($C83="","",VLOOKUP($C83,coefs!$A:$V,12,FALSE()))</f>
        <v/>
      </c>
      <c r="AD83" s="1" t="str">
        <f aca="false">IF($C83="","",VLOOKUP($C83,coefs!$A:$V,13,FALSE()))</f>
        <v/>
      </c>
      <c r="AE83" s="1" t="str">
        <f aca="false">IF($C83="","",VLOOKUP($C83,coefs!$A:$V,14,FALSE()))</f>
        <v/>
      </c>
      <c r="AF83" s="1" t="str">
        <f aca="false">IF($C83="","",VLOOKUP($C83,coefs!$A:$V,15,FALSE()))</f>
        <v/>
      </c>
      <c r="AG83" s="1" t="str">
        <f aca="false">IF($C83="","",VLOOKUP($C83,coefs!$A:$V,16,FALSE()))</f>
        <v/>
      </c>
      <c r="AH83" s="1" t="str">
        <f aca="false">IF($C83="","",VLOOKUP($C83,coefs!$A:$V,17,FALSE()))</f>
        <v/>
      </c>
      <c r="AI83" s="1" t="str">
        <f aca="false">IF($C83="","",VLOOKUP($C83,coefs!$A:$V,18,FALSE()))</f>
        <v/>
      </c>
      <c r="AJ83" s="1" t="str">
        <f aca="false">IF($C83="","",VLOOKUP($C83,coefs!$A:$V,19,FALSE()))</f>
        <v/>
      </c>
      <c r="AK83" s="1" t="str">
        <f aca="false">IF($C83="","",VLOOKUP($C83,coefs!$A:$V,20,FALSE()))</f>
        <v/>
      </c>
      <c r="AL83" s="1" t="str">
        <f aca="false">IF($C83="","",VLOOKUP($C83,coefs!$A:$V,21,FALSE()))</f>
        <v/>
      </c>
      <c r="AM83" s="1" t="str">
        <f aca="false">IF($C83="","",VLOOKUP($C83,coefs!$A:$V,22,FALSE()))</f>
        <v/>
      </c>
    </row>
    <row r="84" customFormat="false" ht="15" hidden="false" customHeight="true" outlineLevel="0" collapsed="false">
      <c r="A84" s="14"/>
      <c r="B84" s="14"/>
      <c r="C84" s="14"/>
      <c r="D84" s="15"/>
      <c r="E84" s="16"/>
      <c r="F84" s="16"/>
      <c r="G84" s="16"/>
      <c r="H84" s="17"/>
      <c r="I84" s="16"/>
      <c r="J84" s="16"/>
      <c r="K84" s="17"/>
      <c r="L84" s="17"/>
      <c r="M84" s="15" t="str">
        <f aca="false">IFERROR(IF(OR($C84="",$D84=""),"",IF($C84="Pinus pinaster",S84/(1+T84*EXP(-U84*$D84)),IF($C84="Quercus pyrenaica",S84*EXP(T84*EXP(-U84*$D84)),1.3+EXP(S84*EXP(-T84*$D84^(-U84)))))),"")</f>
        <v/>
      </c>
      <c r="N84" s="15" t="str">
        <f aca="false">IFERROR(IF($C84="Pinus sylvestris",IF(OR($D84="",$E84="",$F84=""),"",1.3+EXP((V84+W84*$E84)*EXP(-(X84+Y84*$F84)*$D84^(-(Z84+AA84*$E84))))),IF($C84="Pinus nigra",IF(OR($D84="",$E84="",$F84="",$J84=""),"",1.3+EXP((V84+W84*$J84)*EXP(-(X84+Y84*$F84)*$D84^(-(Z84+AA84*$E84))))),IF($C84="Pinus pinaster",IF(OR($D84="",$E84="",$H84="",$F84=""),"",(V84+W84*$E84)/(1+(X84+Y84*$H84)*EXP(-(Z84+AA84*$F84)*$D84))),IF($C84="Quercus pyrenaica",IF(OR($D84="",$E84="",$G84="",$J84=""),"",(V84+W84*$E84)*EXP((X84+Y84*$G84)*EXP(-(Z84+AA84*$J84)*$D84))),"")))),"")</f>
        <v/>
      </c>
      <c r="O84" s="15" t="str">
        <f aca="false">IFERROR(IF($C84="Pinus sylvestris",IF(OR($D84="",$H84="",$I84="",$J84=""),"",1.3+EXP((AB84+AC84*$H84)*EXP(-(AD84+AE84*$I84)*$D84^(-(AF84+AG84*$J84))))),IF($C84="Pinus nigra",IF(OR($D84="",$H84="",$L84="",$I84=""),"",1.3+EXP((AB84+AC84*$H84)*EXP(-(AD84+AE84*$L84)*$D84^(-(AF84+AG84*$I84))))),IF($C84="Pinus pinaster",IF(OR($D84="",$I84="",$K84=""),"",(AB84+AC84*$I84)/(1+(AD84+AE84*$K84)*EXP(-(AF84+AG84*$I84)*$D84))),IF($C84="Quercus pyrenaica",IF(OR($D84="",$L84="",$J84="",$I84=""),"",(AB84+AC84*$L84)*EXP((AD84+AE84*$J84)*EXP(-(AF84+AG84*$I84)*$D84))),"")))),"")</f>
        <v/>
      </c>
      <c r="P84" s="15" t="str">
        <f aca="false">IFERROR(IF(OR($C84="",$D84="",$E84="",$G84=""),"",1.3+(AH84+AI84*$E84-AJ84*$G84)*EXP(-AK84/SQRT($D84))),"")</f>
        <v/>
      </c>
      <c r="Q84" s="15" t="str">
        <f aca="false">IFERROR(IF(OR($C84="",$D84=""),"",1.3+AL84*(LN(1+$D84))^AM84),"")</f>
        <v/>
      </c>
      <c r="S84" s="1" t="str">
        <f aca="false">IF($C84="","",VLOOKUP($C84,coefs!$A:$V,2,FALSE()))</f>
        <v/>
      </c>
      <c r="T84" s="1" t="str">
        <f aca="false">IF($C84="","",VLOOKUP($C84,coefs!$A:$V,3,FALSE()))</f>
        <v/>
      </c>
      <c r="U84" s="1" t="str">
        <f aca="false">IF($C84="","",VLOOKUP($C84,coefs!$A:$V,4,FALSE()))</f>
        <v/>
      </c>
      <c r="V84" s="1" t="str">
        <f aca="false">IF($C84="","",VLOOKUP($C84,coefs!$A:$V,5,FALSE()))</f>
        <v/>
      </c>
      <c r="W84" s="1" t="str">
        <f aca="false">IF($C84="","",VLOOKUP($C84,coefs!$A:$V,6,FALSE()))</f>
        <v/>
      </c>
      <c r="X84" s="1" t="str">
        <f aca="false">IF($C84="","",VLOOKUP($C84,coefs!$A:$V,7,FALSE()))</f>
        <v/>
      </c>
      <c r="Y84" s="1" t="str">
        <f aca="false">IF($C84="","",VLOOKUP($C84,coefs!$A:$V,8,FALSE()))</f>
        <v/>
      </c>
      <c r="Z84" s="1" t="str">
        <f aca="false">IF($C84="","",VLOOKUP($C84,coefs!$A:$V,9,FALSE()))</f>
        <v/>
      </c>
      <c r="AA84" s="1" t="str">
        <f aca="false">IF($C84="","",VLOOKUP($C84,coefs!$A:$V,10,FALSE()))</f>
        <v/>
      </c>
      <c r="AB84" s="1" t="str">
        <f aca="false">IF($C84="","",VLOOKUP($C84,coefs!$A:$V,11,FALSE()))</f>
        <v/>
      </c>
      <c r="AC84" s="1" t="str">
        <f aca="false">IF($C84="","",VLOOKUP($C84,coefs!$A:$V,12,FALSE()))</f>
        <v/>
      </c>
      <c r="AD84" s="1" t="str">
        <f aca="false">IF($C84="","",VLOOKUP($C84,coefs!$A:$V,13,FALSE()))</f>
        <v/>
      </c>
      <c r="AE84" s="1" t="str">
        <f aca="false">IF($C84="","",VLOOKUP($C84,coefs!$A:$V,14,FALSE()))</f>
        <v/>
      </c>
      <c r="AF84" s="1" t="str">
        <f aca="false">IF($C84="","",VLOOKUP($C84,coefs!$A:$V,15,FALSE()))</f>
        <v/>
      </c>
      <c r="AG84" s="1" t="str">
        <f aca="false">IF($C84="","",VLOOKUP($C84,coefs!$A:$V,16,FALSE()))</f>
        <v/>
      </c>
      <c r="AH84" s="1" t="str">
        <f aca="false">IF($C84="","",VLOOKUP($C84,coefs!$A:$V,17,FALSE()))</f>
        <v/>
      </c>
      <c r="AI84" s="1" t="str">
        <f aca="false">IF($C84="","",VLOOKUP($C84,coefs!$A:$V,18,FALSE()))</f>
        <v/>
      </c>
      <c r="AJ84" s="1" t="str">
        <f aca="false">IF($C84="","",VLOOKUP($C84,coefs!$A:$V,19,FALSE()))</f>
        <v/>
      </c>
      <c r="AK84" s="1" t="str">
        <f aca="false">IF($C84="","",VLOOKUP($C84,coefs!$A:$V,20,FALSE()))</f>
        <v/>
      </c>
      <c r="AL84" s="1" t="str">
        <f aca="false">IF($C84="","",VLOOKUP($C84,coefs!$A:$V,21,FALSE()))</f>
        <v/>
      </c>
      <c r="AM84" s="1" t="str">
        <f aca="false">IF($C84="","",VLOOKUP($C84,coefs!$A:$V,22,FALSE()))</f>
        <v/>
      </c>
    </row>
    <row r="85" customFormat="false" ht="15" hidden="false" customHeight="true" outlineLevel="0" collapsed="false">
      <c r="A85" s="14"/>
      <c r="B85" s="14"/>
      <c r="C85" s="14"/>
      <c r="D85" s="15"/>
      <c r="E85" s="16"/>
      <c r="F85" s="16"/>
      <c r="G85" s="16"/>
      <c r="H85" s="17"/>
      <c r="I85" s="16"/>
      <c r="J85" s="16"/>
      <c r="K85" s="17"/>
      <c r="L85" s="17"/>
      <c r="M85" s="15" t="str">
        <f aca="false">IFERROR(IF(OR($C85="",$D85=""),"",IF($C85="Pinus pinaster",S85/(1+T85*EXP(-U85*$D85)),IF($C85="Quercus pyrenaica",S85*EXP(T85*EXP(-U85*$D85)),1.3+EXP(S85*EXP(-T85*$D85^(-U85)))))),"")</f>
        <v/>
      </c>
      <c r="N85" s="15" t="str">
        <f aca="false">IFERROR(IF($C85="Pinus sylvestris",IF(OR($D85="",$E85="",$F85=""),"",1.3+EXP((V85+W85*$E85)*EXP(-(X85+Y85*$F85)*$D85^(-(Z85+AA85*$E85))))),IF($C85="Pinus nigra",IF(OR($D85="",$E85="",$F85="",$J85=""),"",1.3+EXP((V85+W85*$J85)*EXP(-(X85+Y85*$F85)*$D85^(-(Z85+AA85*$E85))))),IF($C85="Pinus pinaster",IF(OR($D85="",$E85="",$H85="",$F85=""),"",(V85+W85*$E85)/(1+(X85+Y85*$H85)*EXP(-(Z85+AA85*$F85)*$D85))),IF($C85="Quercus pyrenaica",IF(OR($D85="",$E85="",$G85="",$J85=""),"",(V85+W85*$E85)*EXP((X85+Y85*$G85)*EXP(-(Z85+AA85*$J85)*$D85))),"")))),"")</f>
        <v/>
      </c>
      <c r="O85" s="15" t="str">
        <f aca="false">IFERROR(IF($C85="Pinus sylvestris",IF(OR($D85="",$H85="",$I85="",$J85=""),"",1.3+EXP((AB85+AC85*$H85)*EXP(-(AD85+AE85*$I85)*$D85^(-(AF85+AG85*$J85))))),IF($C85="Pinus nigra",IF(OR($D85="",$H85="",$L85="",$I85=""),"",1.3+EXP((AB85+AC85*$H85)*EXP(-(AD85+AE85*$L85)*$D85^(-(AF85+AG85*$I85))))),IF($C85="Pinus pinaster",IF(OR($D85="",$I85="",$K85=""),"",(AB85+AC85*$I85)/(1+(AD85+AE85*$K85)*EXP(-(AF85+AG85*$I85)*$D85))),IF($C85="Quercus pyrenaica",IF(OR($D85="",$L85="",$J85="",$I85=""),"",(AB85+AC85*$L85)*EXP((AD85+AE85*$J85)*EXP(-(AF85+AG85*$I85)*$D85))),"")))),"")</f>
        <v/>
      </c>
      <c r="P85" s="15" t="str">
        <f aca="false">IFERROR(IF(OR($C85="",$D85="",$E85="",$G85=""),"",1.3+(AH85+AI85*$E85-AJ85*$G85)*EXP(-AK85/SQRT($D85))),"")</f>
        <v/>
      </c>
      <c r="Q85" s="15" t="str">
        <f aca="false">IFERROR(IF(OR($C85="",$D85=""),"",1.3+AL85*(LN(1+$D85))^AM85),"")</f>
        <v/>
      </c>
      <c r="S85" s="1" t="str">
        <f aca="false">IF($C85="","",VLOOKUP($C85,coefs!$A:$V,2,FALSE()))</f>
        <v/>
      </c>
      <c r="T85" s="1" t="str">
        <f aca="false">IF($C85="","",VLOOKUP($C85,coefs!$A:$V,3,FALSE()))</f>
        <v/>
      </c>
      <c r="U85" s="1" t="str">
        <f aca="false">IF($C85="","",VLOOKUP($C85,coefs!$A:$V,4,FALSE()))</f>
        <v/>
      </c>
      <c r="V85" s="1" t="str">
        <f aca="false">IF($C85="","",VLOOKUP($C85,coefs!$A:$V,5,FALSE()))</f>
        <v/>
      </c>
      <c r="W85" s="1" t="str">
        <f aca="false">IF($C85="","",VLOOKUP($C85,coefs!$A:$V,6,FALSE()))</f>
        <v/>
      </c>
      <c r="X85" s="1" t="str">
        <f aca="false">IF($C85="","",VLOOKUP($C85,coefs!$A:$V,7,FALSE()))</f>
        <v/>
      </c>
      <c r="Y85" s="1" t="str">
        <f aca="false">IF($C85="","",VLOOKUP($C85,coefs!$A:$V,8,FALSE()))</f>
        <v/>
      </c>
      <c r="Z85" s="1" t="str">
        <f aca="false">IF($C85="","",VLOOKUP($C85,coefs!$A:$V,9,FALSE()))</f>
        <v/>
      </c>
      <c r="AA85" s="1" t="str">
        <f aca="false">IF($C85="","",VLOOKUP($C85,coefs!$A:$V,10,FALSE()))</f>
        <v/>
      </c>
      <c r="AB85" s="1" t="str">
        <f aca="false">IF($C85="","",VLOOKUP($C85,coefs!$A:$V,11,FALSE()))</f>
        <v/>
      </c>
      <c r="AC85" s="1" t="str">
        <f aca="false">IF($C85="","",VLOOKUP($C85,coefs!$A:$V,12,FALSE()))</f>
        <v/>
      </c>
      <c r="AD85" s="1" t="str">
        <f aca="false">IF($C85="","",VLOOKUP($C85,coefs!$A:$V,13,FALSE()))</f>
        <v/>
      </c>
      <c r="AE85" s="1" t="str">
        <f aca="false">IF($C85="","",VLOOKUP($C85,coefs!$A:$V,14,FALSE()))</f>
        <v/>
      </c>
      <c r="AF85" s="1" t="str">
        <f aca="false">IF($C85="","",VLOOKUP($C85,coefs!$A:$V,15,FALSE()))</f>
        <v/>
      </c>
      <c r="AG85" s="1" t="str">
        <f aca="false">IF($C85="","",VLOOKUP($C85,coefs!$A:$V,16,FALSE()))</f>
        <v/>
      </c>
      <c r="AH85" s="1" t="str">
        <f aca="false">IF($C85="","",VLOOKUP($C85,coefs!$A:$V,17,FALSE()))</f>
        <v/>
      </c>
      <c r="AI85" s="1" t="str">
        <f aca="false">IF($C85="","",VLOOKUP($C85,coefs!$A:$V,18,FALSE()))</f>
        <v/>
      </c>
      <c r="AJ85" s="1" t="str">
        <f aca="false">IF($C85="","",VLOOKUP($C85,coefs!$A:$V,19,FALSE()))</f>
        <v/>
      </c>
      <c r="AK85" s="1" t="str">
        <f aca="false">IF($C85="","",VLOOKUP($C85,coefs!$A:$V,20,FALSE()))</f>
        <v/>
      </c>
      <c r="AL85" s="1" t="str">
        <f aca="false">IF($C85="","",VLOOKUP($C85,coefs!$A:$V,21,FALSE()))</f>
        <v/>
      </c>
      <c r="AM85" s="1" t="str">
        <f aca="false">IF($C85="","",VLOOKUP($C85,coefs!$A:$V,22,FALSE()))</f>
        <v/>
      </c>
    </row>
    <row r="86" customFormat="false" ht="15" hidden="false" customHeight="true" outlineLevel="0" collapsed="false">
      <c r="A86" s="14"/>
      <c r="B86" s="14"/>
      <c r="C86" s="14"/>
      <c r="D86" s="15"/>
      <c r="E86" s="16"/>
      <c r="F86" s="16"/>
      <c r="G86" s="16"/>
      <c r="H86" s="17"/>
      <c r="I86" s="16"/>
      <c r="J86" s="16"/>
      <c r="K86" s="17"/>
      <c r="L86" s="17"/>
      <c r="M86" s="15" t="str">
        <f aca="false">IFERROR(IF(OR($C86="",$D86=""),"",IF($C86="Pinus pinaster",S86/(1+T86*EXP(-U86*$D86)),IF($C86="Quercus pyrenaica",S86*EXP(T86*EXP(-U86*$D86)),1.3+EXP(S86*EXP(-T86*$D86^(-U86)))))),"")</f>
        <v/>
      </c>
      <c r="N86" s="15" t="str">
        <f aca="false">IFERROR(IF($C86="Pinus sylvestris",IF(OR($D86="",$E86="",$F86=""),"",1.3+EXP((V86+W86*$E86)*EXP(-(X86+Y86*$F86)*$D86^(-(Z86+AA86*$E86))))),IF($C86="Pinus nigra",IF(OR($D86="",$E86="",$F86="",$J86=""),"",1.3+EXP((V86+W86*$J86)*EXP(-(X86+Y86*$F86)*$D86^(-(Z86+AA86*$E86))))),IF($C86="Pinus pinaster",IF(OR($D86="",$E86="",$H86="",$F86=""),"",(V86+W86*$E86)/(1+(X86+Y86*$H86)*EXP(-(Z86+AA86*$F86)*$D86))),IF($C86="Quercus pyrenaica",IF(OR($D86="",$E86="",$G86="",$J86=""),"",(V86+W86*$E86)*EXP((X86+Y86*$G86)*EXP(-(Z86+AA86*$J86)*$D86))),"")))),"")</f>
        <v/>
      </c>
      <c r="O86" s="15" t="str">
        <f aca="false">IFERROR(IF($C86="Pinus sylvestris",IF(OR($D86="",$H86="",$I86="",$J86=""),"",1.3+EXP((AB86+AC86*$H86)*EXP(-(AD86+AE86*$I86)*$D86^(-(AF86+AG86*$J86))))),IF($C86="Pinus nigra",IF(OR($D86="",$H86="",$L86="",$I86=""),"",1.3+EXP((AB86+AC86*$H86)*EXP(-(AD86+AE86*$L86)*$D86^(-(AF86+AG86*$I86))))),IF($C86="Pinus pinaster",IF(OR($D86="",$I86="",$K86=""),"",(AB86+AC86*$I86)/(1+(AD86+AE86*$K86)*EXP(-(AF86+AG86*$I86)*$D86))),IF($C86="Quercus pyrenaica",IF(OR($D86="",$L86="",$J86="",$I86=""),"",(AB86+AC86*$L86)*EXP((AD86+AE86*$J86)*EXP(-(AF86+AG86*$I86)*$D86))),"")))),"")</f>
        <v/>
      </c>
      <c r="P86" s="15" t="str">
        <f aca="false">IFERROR(IF(OR($C86="",$D86="",$E86="",$G86=""),"",1.3+(AH86+AI86*$E86-AJ86*$G86)*EXP(-AK86/SQRT($D86))),"")</f>
        <v/>
      </c>
      <c r="Q86" s="15" t="str">
        <f aca="false">IFERROR(IF(OR($C86="",$D86=""),"",1.3+AL86*(LN(1+$D86))^AM86),"")</f>
        <v/>
      </c>
      <c r="S86" s="1" t="str">
        <f aca="false">IF($C86="","",VLOOKUP($C86,coefs!$A:$V,2,FALSE()))</f>
        <v/>
      </c>
      <c r="T86" s="1" t="str">
        <f aca="false">IF($C86="","",VLOOKUP($C86,coefs!$A:$V,3,FALSE()))</f>
        <v/>
      </c>
      <c r="U86" s="1" t="str">
        <f aca="false">IF($C86="","",VLOOKUP($C86,coefs!$A:$V,4,FALSE()))</f>
        <v/>
      </c>
      <c r="V86" s="1" t="str">
        <f aca="false">IF($C86="","",VLOOKUP($C86,coefs!$A:$V,5,FALSE()))</f>
        <v/>
      </c>
      <c r="W86" s="1" t="str">
        <f aca="false">IF($C86="","",VLOOKUP($C86,coefs!$A:$V,6,FALSE()))</f>
        <v/>
      </c>
      <c r="X86" s="1" t="str">
        <f aca="false">IF($C86="","",VLOOKUP($C86,coefs!$A:$V,7,FALSE()))</f>
        <v/>
      </c>
      <c r="Y86" s="1" t="str">
        <f aca="false">IF($C86="","",VLOOKUP($C86,coefs!$A:$V,8,FALSE()))</f>
        <v/>
      </c>
      <c r="Z86" s="1" t="str">
        <f aca="false">IF($C86="","",VLOOKUP($C86,coefs!$A:$V,9,FALSE()))</f>
        <v/>
      </c>
      <c r="AA86" s="1" t="str">
        <f aca="false">IF($C86="","",VLOOKUP($C86,coefs!$A:$V,10,FALSE()))</f>
        <v/>
      </c>
      <c r="AB86" s="1" t="str">
        <f aca="false">IF($C86="","",VLOOKUP($C86,coefs!$A:$V,11,FALSE()))</f>
        <v/>
      </c>
      <c r="AC86" s="1" t="str">
        <f aca="false">IF($C86="","",VLOOKUP($C86,coefs!$A:$V,12,FALSE()))</f>
        <v/>
      </c>
      <c r="AD86" s="1" t="str">
        <f aca="false">IF($C86="","",VLOOKUP($C86,coefs!$A:$V,13,FALSE()))</f>
        <v/>
      </c>
      <c r="AE86" s="1" t="str">
        <f aca="false">IF($C86="","",VLOOKUP($C86,coefs!$A:$V,14,FALSE()))</f>
        <v/>
      </c>
      <c r="AF86" s="1" t="str">
        <f aca="false">IF($C86="","",VLOOKUP($C86,coefs!$A:$V,15,FALSE()))</f>
        <v/>
      </c>
      <c r="AG86" s="1" t="str">
        <f aca="false">IF($C86="","",VLOOKUP($C86,coefs!$A:$V,16,FALSE()))</f>
        <v/>
      </c>
      <c r="AH86" s="1" t="str">
        <f aca="false">IF($C86="","",VLOOKUP($C86,coefs!$A:$V,17,FALSE()))</f>
        <v/>
      </c>
      <c r="AI86" s="1" t="str">
        <f aca="false">IF($C86="","",VLOOKUP($C86,coefs!$A:$V,18,FALSE()))</f>
        <v/>
      </c>
      <c r="AJ86" s="1" t="str">
        <f aca="false">IF($C86="","",VLOOKUP($C86,coefs!$A:$V,19,FALSE()))</f>
        <v/>
      </c>
      <c r="AK86" s="1" t="str">
        <f aca="false">IF($C86="","",VLOOKUP($C86,coefs!$A:$V,20,FALSE()))</f>
        <v/>
      </c>
      <c r="AL86" s="1" t="str">
        <f aca="false">IF($C86="","",VLOOKUP($C86,coefs!$A:$V,21,FALSE()))</f>
        <v/>
      </c>
      <c r="AM86" s="1" t="str">
        <f aca="false">IF($C86="","",VLOOKUP($C86,coefs!$A:$V,22,FALSE()))</f>
        <v/>
      </c>
    </row>
    <row r="87" customFormat="false" ht="15" hidden="false" customHeight="true" outlineLevel="0" collapsed="false">
      <c r="A87" s="14"/>
      <c r="B87" s="14"/>
      <c r="C87" s="14"/>
      <c r="D87" s="15"/>
      <c r="E87" s="16"/>
      <c r="F87" s="16"/>
      <c r="G87" s="16"/>
      <c r="H87" s="17"/>
      <c r="I87" s="16"/>
      <c r="J87" s="16"/>
      <c r="K87" s="17"/>
      <c r="L87" s="17"/>
      <c r="M87" s="15" t="str">
        <f aca="false">IFERROR(IF(OR($C87="",$D87=""),"",IF($C87="Pinus pinaster",S87/(1+T87*EXP(-U87*$D87)),IF($C87="Quercus pyrenaica",S87*EXP(T87*EXP(-U87*$D87)),1.3+EXP(S87*EXP(-T87*$D87^(-U87)))))),"")</f>
        <v/>
      </c>
      <c r="N87" s="15" t="str">
        <f aca="false">IFERROR(IF($C87="Pinus sylvestris",IF(OR($D87="",$E87="",$F87=""),"",1.3+EXP((V87+W87*$E87)*EXP(-(X87+Y87*$F87)*$D87^(-(Z87+AA87*$E87))))),IF($C87="Pinus nigra",IF(OR($D87="",$E87="",$F87="",$J87=""),"",1.3+EXP((V87+W87*$J87)*EXP(-(X87+Y87*$F87)*$D87^(-(Z87+AA87*$E87))))),IF($C87="Pinus pinaster",IF(OR($D87="",$E87="",$H87="",$F87=""),"",(V87+W87*$E87)/(1+(X87+Y87*$H87)*EXP(-(Z87+AA87*$F87)*$D87))),IF($C87="Quercus pyrenaica",IF(OR($D87="",$E87="",$G87="",$J87=""),"",(V87+W87*$E87)*EXP((X87+Y87*$G87)*EXP(-(Z87+AA87*$J87)*$D87))),"")))),"")</f>
        <v/>
      </c>
      <c r="O87" s="15" t="str">
        <f aca="false">IFERROR(IF($C87="Pinus sylvestris",IF(OR($D87="",$H87="",$I87="",$J87=""),"",1.3+EXP((AB87+AC87*$H87)*EXP(-(AD87+AE87*$I87)*$D87^(-(AF87+AG87*$J87))))),IF($C87="Pinus nigra",IF(OR($D87="",$H87="",$L87="",$I87=""),"",1.3+EXP((AB87+AC87*$H87)*EXP(-(AD87+AE87*$L87)*$D87^(-(AF87+AG87*$I87))))),IF($C87="Pinus pinaster",IF(OR($D87="",$I87="",$K87=""),"",(AB87+AC87*$I87)/(1+(AD87+AE87*$K87)*EXP(-(AF87+AG87*$I87)*$D87))),IF($C87="Quercus pyrenaica",IF(OR($D87="",$L87="",$J87="",$I87=""),"",(AB87+AC87*$L87)*EXP((AD87+AE87*$J87)*EXP(-(AF87+AG87*$I87)*$D87))),"")))),"")</f>
        <v/>
      </c>
      <c r="P87" s="15" t="str">
        <f aca="false">IFERROR(IF(OR($C87="",$D87="",$E87="",$G87=""),"",1.3+(AH87+AI87*$E87-AJ87*$G87)*EXP(-AK87/SQRT($D87))),"")</f>
        <v/>
      </c>
      <c r="Q87" s="15" t="str">
        <f aca="false">IFERROR(IF(OR($C87="",$D87=""),"",1.3+AL87*(LN(1+$D87))^AM87),"")</f>
        <v/>
      </c>
      <c r="S87" s="1" t="str">
        <f aca="false">IF($C87="","",VLOOKUP($C87,coefs!$A:$V,2,FALSE()))</f>
        <v/>
      </c>
      <c r="T87" s="1" t="str">
        <f aca="false">IF($C87="","",VLOOKUP($C87,coefs!$A:$V,3,FALSE()))</f>
        <v/>
      </c>
      <c r="U87" s="1" t="str">
        <f aca="false">IF($C87="","",VLOOKUP($C87,coefs!$A:$V,4,FALSE()))</f>
        <v/>
      </c>
      <c r="V87" s="1" t="str">
        <f aca="false">IF($C87="","",VLOOKUP($C87,coefs!$A:$V,5,FALSE()))</f>
        <v/>
      </c>
      <c r="W87" s="1" t="str">
        <f aca="false">IF($C87="","",VLOOKUP($C87,coefs!$A:$V,6,FALSE()))</f>
        <v/>
      </c>
      <c r="X87" s="1" t="str">
        <f aca="false">IF($C87="","",VLOOKUP($C87,coefs!$A:$V,7,FALSE()))</f>
        <v/>
      </c>
      <c r="Y87" s="1" t="str">
        <f aca="false">IF($C87="","",VLOOKUP($C87,coefs!$A:$V,8,FALSE()))</f>
        <v/>
      </c>
      <c r="Z87" s="1" t="str">
        <f aca="false">IF($C87="","",VLOOKUP($C87,coefs!$A:$V,9,FALSE()))</f>
        <v/>
      </c>
      <c r="AA87" s="1" t="str">
        <f aca="false">IF($C87="","",VLOOKUP($C87,coefs!$A:$V,10,FALSE()))</f>
        <v/>
      </c>
      <c r="AB87" s="1" t="str">
        <f aca="false">IF($C87="","",VLOOKUP($C87,coefs!$A:$V,11,FALSE()))</f>
        <v/>
      </c>
      <c r="AC87" s="1" t="str">
        <f aca="false">IF($C87="","",VLOOKUP($C87,coefs!$A:$V,12,FALSE()))</f>
        <v/>
      </c>
      <c r="AD87" s="1" t="str">
        <f aca="false">IF($C87="","",VLOOKUP($C87,coefs!$A:$V,13,FALSE()))</f>
        <v/>
      </c>
      <c r="AE87" s="1" t="str">
        <f aca="false">IF($C87="","",VLOOKUP($C87,coefs!$A:$V,14,FALSE()))</f>
        <v/>
      </c>
      <c r="AF87" s="1" t="str">
        <f aca="false">IF($C87="","",VLOOKUP($C87,coefs!$A:$V,15,FALSE()))</f>
        <v/>
      </c>
      <c r="AG87" s="1" t="str">
        <f aca="false">IF($C87="","",VLOOKUP($C87,coefs!$A:$V,16,FALSE()))</f>
        <v/>
      </c>
      <c r="AH87" s="1" t="str">
        <f aca="false">IF($C87="","",VLOOKUP($C87,coefs!$A:$V,17,FALSE()))</f>
        <v/>
      </c>
      <c r="AI87" s="1" t="str">
        <f aca="false">IF($C87="","",VLOOKUP($C87,coefs!$A:$V,18,FALSE()))</f>
        <v/>
      </c>
      <c r="AJ87" s="1" t="str">
        <f aca="false">IF($C87="","",VLOOKUP($C87,coefs!$A:$V,19,FALSE()))</f>
        <v/>
      </c>
      <c r="AK87" s="1" t="str">
        <f aca="false">IF($C87="","",VLOOKUP($C87,coefs!$A:$V,20,FALSE()))</f>
        <v/>
      </c>
      <c r="AL87" s="1" t="str">
        <f aca="false">IF($C87="","",VLOOKUP($C87,coefs!$A:$V,21,FALSE()))</f>
        <v/>
      </c>
      <c r="AM87" s="1" t="str">
        <f aca="false">IF($C87="","",VLOOKUP($C87,coefs!$A:$V,22,FALSE()))</f>
        <v/>
      </c>
    </row>
    <row r="88" customFormat="false" ht="15" hidden="false" customHeight="true" outlineLevel="0" collapsed="false">
      <c r="A88" s="14"/>
      <c r="B88" s="14"/>
      <c r="C88" s="14"/>
      <c r="D88" s="15"/>
      <c r="E88" s="16"/>
      <c r="F88" s="16"/>
      <c r="G88" s="16"/>
      <c r="H88" s="17"/>
      <c r="I88" s="16"/>
      <c r="J88" s="16"/>
      <c r="K88" s="17"/>
      <c r="L88" s="17"/>
      <c r="M88" s="15" t="str">
        <f aca="false">IFERROR(IF(OR($C88="",$D88=""),"",IF($C88="Pinus pinaster",S88/(1+T88*EXP(-U88*$D88)),IF($C88="Quercus pyrenaica",S88*EXP(T88*EXP(-U88*$D88)),1.3+EXP(S88*EXP(-T88*$D88^(-U88)))))),"")</f>
        <v/>
      </c>
      <c r="N88" s="15" t="str">
        <f aca="false">IFERROR(IF($C88="Pinus sylvestris",IF(OR($D88="",$E88="",$F88=""),"",1.3+EXP((V88+W88*$E88)*EXP(-(X88+Y88*$F88)*$D88^(-(Z88+AA88*$E88))))),IF($C88="Pinus nigra",IF(OR($D88="",$E88="",$F88="",$J88=""),"",1.3+EXP((V88+W88*$J88)*EXP(-(X88+Y88*$F88)*$D88^(-(Z88+AA88*$E88))))),IF($C88="Pinus pinaster",IF(OR($D88="",$E88="",$H88="",$F88=""),"",(V88+W88*$E88)/(1+(X88+Y88*$H88)*EXP(-(Z88+AA88*$F88)*$D88))),IF($C88="Quercus pyrenaica",IF(OR($D88="",$E88="",$G88="",$J88=""),"",(V88+W88*$E88)*EXP((X88+Y88*$G88)*EXP(-(Z88+AA88*$J88)*$D88))),"")))),"")</f>
        <v/>
      </c>
      <c r="O88" s="15" t="str">
        <f aca="false">IFERROR(IF($C88="Pinus sylvestris",IF(OR($D88="",$H88="",$I88="",$J88=""),"",1.3+EXP((AB88+AC88*$H88)*EXP(-(AD88+AE88*$I88)*$D88^(-(AF88+AG88*$J88))))),IF($C88="Pinus nigra",IF(OR($D88="",$H88="",$L88="",$I88=""),"",1.3+EXP((AB88+AC88*$H88)*EXP(-(AD88+AE88*$L88)*$D88^(-(AF88+AG88*$I88))))),IF($C88="Pinus pinaster",IF(OR($D88="",$I88="",$K88=""),"",(AB88+AC88*$I88)/(1+(AD88+AE88*$K88)*EXP(-(AF88+AG88*$I88)*$D88))),IF($C88="Quercus pyrenaica",IF(OR($D88="",$L88="",$J88="",$I88=""),"",(AB88+AC88*$L88)*EXP((AD88+AE88*$J88)*EXP(-(AF88+AG88*$I88)*$D88))),"")))),"")</f>
        <v/>
      </c>
      <c r="P88" s="15" t="str">
        <f aca="false">IFERROR(IF(OR($C88="",$D88="",$E88="",$G88=""),"",1.3+(AH88+AI88*$E88-AJ88*$G88)*EXP(-AK88/SQRT($D88))),"")</f>
        <v/>
      </c>
      <c r="Q88" s="15" t="str">
        <f aca="false">IFERROR(IF(OR($C88="",$D88=""),"",1.3+AL88*(LN(1+$D88))^AM88),"")</f>
        <v/>
      </c>
      <c r="S88" s="1" t="str">
        <f aca="false">IF($C88="","",VLOOKUP($C88,coefs!$A:$V,2,FALSE()))</f>
        <v/>
      </c>
      <c r="T88" s="1" t="str">
        <f aca="false">IF($C88="","",VLOOKUP($C88,coefs!$A:$V,3,FALSE()))</f>
        <v/>
      </c>
      <c r="U88" s="1" t="str">
        <f aca="false">IF($C88="","",VLOOKUP($C88,coefs!$A:$V,4,FALSE()))</f>
        <v/>
      </c>
      <c r="V88" s="1" t="str">
        <f aca="false">IF($C88="","",VLOOKUP($C88,coefs!$A:$V,5,FALSE()))</f>
        <v/>
      </c>
      <c r="W88" s="1" t="str">
        <f aca="false">IF($C88="","",VLOOKUP($C88,coefs!$A:$V,6,FALSE()))</f>
        <v/>
      </c>
      <c r="X88" s="1" t="str">
        <f aca="false">IF($C88="","",VLOOKUP($C88,coefs!$A:$V,7,FALSE()))</f>
        <v/>
      </c>
      <c r="Y88" s="1" t="str">
        <f aca="false">IF($C88="","",VLOOKUP($C88,coefs!$A:$V,8,FALSE()))</f>
        <v/>
      </c>
      <c r="Z88" s="1" t="str">
        <f aca="false">IF($C88="","",VLOOKUP($C88,coefs!$A:$V,9,FALSE()))</f>
        <v/>
      </c>
      <c r="AA88" s="1" t="str">
        <f aca="false">IF($C88="","",VLOOKUP($C88,coefs!$A:$V,10,FALSE()))</f>
        <v/>
      </c>
      <c r="AB88" s="1" t="str">
        <f aca="false">IF($C88="","",VLOOKUP($C88,coefs!$A:$V,11,FALSE()))</f>
        <v/>
      </c>
      <c r="AC88" s="1" t="str">
        <f aca="false">IF($C88="","",VLOOKUP($C88,coefs!$A:$V,12,FALSE()))</f>
        <v/>
      </c>
      <c r="AD88" s="1" t="str">
        <f aca="false">IF($C88="","",VLOOKUP($C88,coefs!$A:$V,13,FALSE()))</f>
        <v/>
      </c>
      <c r="AE88" s="1" t="str">
        <f aca="false">IF($C88="","",VLOOKUP($C88,coefs!$A:$V,14,FALSE()))</f>
        <v/>
      </c>
      <c r="AF88" s="1" t="str">
        <f aca="false">IF($C88="","",VLOOKUP($C88,coefs!$A:$V,15,FALSE()))</f>
        <v/>
      </c>
      <c r="AG88" s="1" t="str">
        <f aca="false">IF($C88="","",VLOOKUP($C88,coefs!$A:$V,16,FALSE()))</f>
        <v/>
      </c>
      <c r="AH88" s="1" t="str">
        <f aca="false">IF($C88="","",VLOOKUP($C88,coefs!$A:$V,17,FALSE()))</f>
        <v/>
      </c>
      <c r="AI88" s="1" t="str">
        <f aca="false">IF($C88="","",VLOOKUP($C88,coefs!$A:$V,18,FALSE()))</f>
        <v/>
      </c>
      <c r="AJ88" s="1" t="str">
        <f aca="false">IF($C88="","",VLOOKUP($C88,coefs!$A:$V,19,FALSE()))</f>
        <v/>
      </c>
      <c r="AK88" s="1" t="str">
        <f aca="false">IF($C88="","",VLOOKUP($C88,coefs!$A:$V,20,FALSE()))</f>
        <v/>
      </c>
      <c r="AL88" s="1" t="str">
        <f aca="false">IF($C88="","",VLOOKUP($C88,coefs!$A:$V,21,FALSE()))</f>
        <v/>
      </c>
      <c r="AM88" s="1" t="str">
        <f aca="false">IF($C88="","",VLOOKUP($C88,coefs!$A:$V,22,FALSE()))</f>
        <v/>
      </c>
    </row>
    <row r="89" customFormat="false" ht="15" hidden="false" customHeight="true" outlineLevel="0" collapsed="false">
      <c r="A89" s="14"/>
      <c r="B89" s="14"/>
      <c r="C89" s="14"/>
      <c r="D89" s="15"/>
      <c r="E89" s="16"/>
      <c r="F89" s="16"/>
      <c r="G89" s="16"/>
      <c r="H89" s="17"/>
      <c r="I89" s="16"/>
      <c r="J89" s="16"/>
      <c r="K89" s="17"/>
      <c r="L89" s="17"/>
      <c r="M89" s="15" t="str">
        <f aca="false">IFERROR(IF(OR($C89="",$D89=""),"",IF($C89="Pinus pinaster",S89/(1+T89*EXP(-U89*$D89)),IF($C89="Quercus pyrenaica",S89*EXP(T89*EXP(-U89*$D89)),1.3+EXP(S89*EXP(-T89*$D89^(-U89)))))),"")</f>
        <v/>
      </c>
      <c r="N89" s="15" t="str">
        <f aca="false">IFERROR(IF($C89="Pinus sylvestris",IF(OR($D89="",$E89="",$F89=""),"",1.3+EXP((V89+W89*$E89)*EXP(-(X89+Y89*$F89)*$D89^(-(Z89+AA89*$E89))))),IF($C89="Pinus nigra",IF(OR($D89="",$E89="",$F89="",$J89=""),"",1.3+EXP((V89+W89*$J89)*EXP(-(X89+Y89*$F89)*$D89^(-(Z89+AA89*$E89))))),IF($C89="Pinus pinaster",IF(OR($D89="",$E89="",$H89="",$F89=""),"",(V89+W89*$E89)/(1+(X89+Y89*$H89)*EXP(-(Z89+AA89*$F89)*$D89))),IF($C89="Quercus pyrenaica",IF(OR($D89="",$E89="",$G89="",$J89=""),"",(V89+W89*$E89)*EXP((X89+Y89*$G89)*EXP(-(Z89+AA89*$J89)*$D89))),"")))),"")</f>
        <v/>
      </c>
      <c r="O89" s="15" t="str">
        <f aca="false">IFERROR(IF($C89="Pinus sylvestris",IF(OR($D89="",$H89="",$I89="",$J89=""),"",1.3+EXP((AB89+AC89*$H89)*EXP(-(AD89+AE89*$I89)*$D89^(-(AF89+AG89*$J89))))),IF($C89="Pinus nigra",IF(OR($D89="",$H89="",$L89="",$I89=""),"",1.3+EXP((AB89+AC89*$H89)*EXP(-(AD89+AE89*$L89)*$D89^(-(AF89+AG89*$I89))))),IF($C89="Pinus pinaster",IF(OR($D89="",$I89="",$K89=""),"",(AB89+AC89*$I89)/(1+(AD89+AE89*$K89)*EXP(-(AF89+AG89*$I89)*$D89))),IF($C89="Quercus pyrenaica",IF(OR($D89="",$L89="",$J89="",$I89=""),"",(AB89+AC89*$L89)*EXP((AD89+AE89*$J89)*EXP(-(AF89+AG89*$I89)*$D89))),"")))),"")</f>
        <v/>
      </c>
      <c r="P89" s="15" t="str">
        <f aca="false">IFERROR(IF(OR($C89="",$D89="",$E89="",$G89=""),"",1.3+(AH89+AI89*$E89-AJ89*$G89)*EXP(-AK89/SQRT($D89))),"")</f>
        <v/>
      </c>
      <c r="Q89" s="15" t="str">
        <f aca="false">IFERROR(IF(OR($C89="",$D89=""),"",1.3+AL89*(LN(1+$D89))^AM89),"")</f>
        <v/>
      </c>
      <c r="S89" s="1" t="str">
        <f aca="false">IF($C89="","",VLOOKUP($C89,coefs!$A:$V,2,FALSE()))</f>
        <v/>
      </c>
      <c r="T89" s="1" t="str">
        <f aca="false">IF($C89="","",VLOOKUP($C89,coefs!$A:$V,3,FALSE()))</f>
        <v/>
      </c>
      <c r="U89" s="1" t="str">
        <f aca="false">IF($C89="","",VLOOKUP($C89,coefs!$A:$V,4,FALSE()))</f>
        <v/>
      </c>
      <c r="V89" s="1" t="str">
        <f aca="false">IF($C89="","",VLOOKUP($C89,coefs!$A:$V,5,FALSE()))</f>
        <v/>
      </c>
      <c r="W89" s="1" t="str">
        <f aca="false">IF($C89="","",VLOOKUP($C89,coefs!$A:$V,6,FALSE()))</f>
        <v/>
      </c>
      <c r="X89" s="1" t="str">
        <f aca="false">IF($C89="","",VLOOKUP($C89,coefs!$A:$V,7,FALSE()))</f>
        <v/>
      </c>
      <c r="Y89" s="1" t="str">
        <f aca="false">IF($C89="","",VLOOKUP($C89,coefs!$A:$V,8,FALSE()))</f>
        <v/>
      </c>
      <c r="Z89" s="1" t="str">
        <f aca="false">IF($C89="","",VLOOKUP($C89,coefs!$A:$V,9,FALSE()))</f>
        <v/>
      </c>
      <c r="AA89" s="1" t="str">
        <f aca="false">IF($C89="","",VLOOKUP($C89,coefs!$A:$V,10,FALSE()))</f>
        <v/>
      </c>
      <c r="AB89" s="1" t="str">
        <f aca="false">IF($C89="","",VLOOKUP($C89,coefs!$A:$V,11,FALSE()))</f>
        <v/>
      </c>
      <c r="AC89" s="1" t="str">
        <f aca="false">IF($C89="","",VLOOKUP($C89,coefs!$A:$V,12,FALSE()))</f>
        <v/>
      </c>
      <c r="AD89" s="1" t="str">
        <f aca="false">IF($C89="","",VLOOKUP($C89,coefs!$A:$V,13,FALSE()))</f>
        <v/>
      </c>
      <c r="AE89" s="1" t="str">
        <f aca="false">IF($C89="","",VLOOKUP($C89,coefs!$A:$V,14,FALSE()))</f>
        <v/>
      </c>
      <c r="AF89" s="1" t="str">
        <f aca="false">IF($C89="","",VLOOKUP($C89,coefs!$A:$V,15,FALSE()))</f>
        <v/>
      </c>
      <c r="AG89" s="1" t="str">
        <f aca="false">IF($C89="","",VLOOKUP($C89,coefs!$A:$V,16,FALSE()))</f>
        <v/>
      </c>
      <c r="AH89" s="1" t="str">
        <f aca="false">IF($C89="","",VLOOKUP($C89,coefs!$A:$V,17,FALSE()))</f>
        <v/>
      </c>
      <c r="AI89" s="1" t="str">
        <f aca="false">IF($C89="","",VLOOKUP($C89,coefs!$A:$V,18,FALSE()))</f>
        <v/>
      </c>
      <c r="AJ89" s="1" t="str">
        <f aca="false">IF($C89="","",VLOOKUP($C89,coefs!$A:$V,19,FALSE()))</f>
        <v/>
      </c>
      <c r="AK89" s="1" t="str">
        <f aca="false">IF($C89="","",VLOOKUP($C89,coefs!$A:$V,20,FALSE()))</f>
        <v/>
      </c>
      <c r="AL89" s="1" t="str">
        <f aca="false">IF($C89="","",VLOOKUP($C89,coefs!$A:$V,21,FALSE()))</f>
        <v/>
      </c>
      <c r="AM89" s="1" t="str">
        <f aca="false">IF($C89="","",VLOOKUP($C89,coefs!$A:$V,22,FALSE()))</f>
        <v/>
      </c>
    </row>
    <row r="90" customFormat="false" ht="15" hidden="false" customHeight="true" outlineLevel="0" collapsed="false">
      <c r="A90" s="14"/>
      <c r="B90" s="14"/>
      <c r="C90" s="14"/>
      <c r="D90" s="15"/>
      <c r="E90" s="16"/>
      <c r="F90" s="16"/>
      <c r="G90" s="16"/>
      <c r="H90" s="17"/>
      <c r="I90" s="16"/>
      <c r="J90" s="16"/>
      <c r="K90" s="17"/>
      <c r="L90" s="17"/>
      <c r="M90" s="15" t="str">
        <f aca="false">IFERROR(IF(OR($C90="",$D90=""),"",IF($C90="Pinus pinaster",S90/(1+T90*EXP(-U90*$D90)),IF($C90="Quercus pyrenaica",S90*EXP(T90*EXP(-U90*$D90)),1.3+EXP(S90*EXP(-T90*$D90^(-U90)))))),"")</f>
        <v/>
      </c>
      <c r="N90" s="15" t="str">
        <f aca="false">IFERROR(IF($C90="Pinus sylvestris",IF(OR($D90="",$E90="",$F90=""),"",1.3+EXP((V90+W90*$E90)*EXP(-(X90+Y90*$F90)*$D90^(-(Z90+AA90*$E90))))),IF($C90="Pinus nigra",IF(OR($D90="",$E90="",$F90="",$J90=""),"",1.3+EXP((V90+W90*$J90)*EXP(-(X90+Y90*$F90)*$D90^(-(Z90+AA90*$E90))))),IF($C90="Pinus pinaster",IF(OR($D90="",$E90="",$H90="",$F90=""),"",(V90+W90*$E90)/(1+(X90+Y90*$H90)*EXP(-(Z90+AA90*$F90)*$D90))),IF($C90="Quercus pyrenaica",IF(OR($D90="",$E90="",$G90="",$J90=""),"",(V90+W90*$E90)*EXP((X90+Y90*$G90)*EXP(-(Z90+AA90*$J90)*$D90))),"")))),"")</f>
        <v/>
      </c>
      <c r="O90" s="15" t="str">
        <f aca="false">IFERROR(IF($C90="Pinus sylvestris",IF(OR($D90="",$H90="",$I90="",$J90=""),"",1.3+EXP((AB90+AC90*$H90)*EXP(-(AD90+AE90*$I90)*$D90^(-(AF90+AG90*$J90))))),IF($C90="Pinus nigra",IF(OR($D90="",$H90="",$L90="",$I90=""),"",1.3+EXP((AB90+AC90*$H90)*EXP(-(AD90+AE90*$L90)*$D90^(-(AF90+AG90*$I90))))),IF($C90="Pinus pinaster",IF(OR($D90="",$I90="",$K90=""),"",(AB90+AC90*$I90)/(1+(AD90+AE90*$K90)*EXP(-(AF90+AG90*$I90)*$D90))),IF($C90="Quercus pyrenaica",IF(OR($D90="",$L90="",$J90="",$I90=""),"",(AB90+AC90*$L90)*EXP((AD90+AE90*$J90)*EXP(-(AF90+AG90*$I90)*$D90))),"")))),"")</f>
        <v/>
      </c>
      <c r="P90" s="15" t="str">
        <f aca="false">IFERROR(IF(OR($C90="",$D90="",$E90="",$G90=""),"",1.3+(AH90+AI90*$E90-AJ90*$G90)*EXP(-AK90/SQRT($D90))),"")</f>
        <v/>
      </c>
      <c r="Q90" s="15" t="str">
        <f aca="false">IFERROR(IF(OR($C90="",$D90=""),"",1.3+AL90*(LN(1+$D90))^AM90),"")</f>
        <v/>
      </c>
      <c r="S90" s="1" t="str">
        <f aca="false">IF($C90="","",VLOOKUP($C90,coefs!$A:$V,2,FALSE()))</f>
        <v/>
      </c>
      <c r="T90" s="1" t="str">
        <f aca="false">IF($C90="","",VLOOKUP($C90,coefs!$A:$V,3,FALSE()))</f>
        <v/>
      </c>
      <c r="U90" s="1" t="str">
        <f aca="false">IF($C90="","",VLOOKUP($C90,coefs!$A:$V,4,FALSE()))</f>
        <v/>
      </c>
      <c r="V90" s="1" t="str">
        <f aca="false">IF($C90="","",VLOOKUP($C90,coefs!$A:$V,5,FALSE()))</f>
        <v/>
      </c>
      <c r="W90" s="1" t="str">
        <f aca="false">IF($C90="","",VLOOKUP($C90,coefs!$A:$V,6,FALSE()))</f>
        <v/>
      </c>
      <c r="X90" s="1" t="str">
        <f aca="false">IF($C90="","",VLOOKUP($C90,coefs!$A:$V,7,FALSE()))</f>
        <v/>
      </c>
      <c r="Y90" s="1" t="str">
        <f aca="false">IF($C90="","",VLOOKUP($C90,coefs!$A:$V,8,FALSE()))</f>
        <v/>
      </c>
      <c r="Z90" s="1" t="str">
        <f aca="false">IF($C90="","",VLOOKUP($C90,coefs!$A:$V,9,FALSE()))</f>
        <v/>
      </c>
      <c r="AA90" s="1" t="str">
        <f aca="false">IF($C90="","",VLOOKUP($C90,coefs!$A:$V,10,FALSE()))</f>
        <v/>
      </c>
      <c r="AB90" s="1" t="str">
        <f aca="false">IF($C90="","",VLOOKUP($C90,coefs!$A:$V,11,FALSE()))</f>
        <v/>
      </c>
      <c r="AC90" s="1" t="str">
        <f aca="false">IF($C90="","",VLOOKUP($C90,coefs!$A:$V,12,FALSE()))</f>
        <v/>
      </c>
      <c r="AD90" s="1" t="str">
        <f aca="false">IF($C90="","",VLOOKUP($C90,coefs!$A:$V,13,FALSE()))</f>
        <v/>
      </c>
      <c r="AE90" s="1" t="str">
        <f aca="false">IF($C90="","",VLOOKUP($C90,coefs!$A:$V,14,FALSE()))</f>
        <v/>
      </c>
      <c r="AF90" s="1" t="str">
        <f aca="false">IF($C90="","",VLOOKUP($C90,coefs!$A:$V,15,FALSE()))</f>
        <v/>
      </c>
      <c r="AG90" s="1" t="str">
        <f aca="false">IF($C90="","",VLOOKUP($C90,coefs!$A:$V,16,FALSE()))</f>
        <v/>
      </c>
      <c r="AH90" s="1" t="str">
        <f aca="false">IF($C90="","",VLOOKUP($C90,coefs!$A:$V,17,FALSE()))</f>
        <v/>
      </c>
      <c r="AI90" s="1" t="str">
        <f aca="false">IF($C90="","",VLOOKUP($C90,coefs!$A:$V,18,FALSE()))</f>
        <v/>
      </c>
      <c r="AJ90" s="1" t="str">
        <f aca="false">IF($C90="","",VLOOKUP($C90,coefs!$A:$V,19,FALSE()))</f>
        <v/>
      </c>
      <c r="AK90" s="1" t="str">
        <f aca="false">IF($C90="","",VLOOKUP($C90,coefs!$A:$V,20,FALSE()))</f>
        <v/>
      </c>
      <c r="AL90" s="1" t="str">
        <f aca="false">IF($C90="","",VLOOKUP($C90,coefs!$A:$V,21,FALSE()))</f>
        <v/>
      </c>
      <c r="AM90" s="1" t="str">
        <f aca="false">IF($C90="","",VLOOKUP($C90,coefs!$A:$V,22,FALSE()))</f>
        <v/>
      </c>
    </row>
    <row r="91" customFormat="false" ht="15" hidden="false" customHeight="true" outlineLevel="0" collapsed="false">
      <c r="A91" s="14"/>
      <c r="B91" s="14"/>
      <c r="C91" s="14"/>
      <c r="D91" s="15"/>
      <c r="E91" s="16"/>
      <c r="F91" s="16"/>
      <c r="G91" s="16"/>
      <c r="H91" s="17"/>
      <c r="I91" s="16"/>
      <c r="J91" s="16"/>
      <c r="K91" s="17"/>
      <c r="L91" s="17"/>
      <c r="M91" s="15" t="str">
        <f aca="false">IFERROR(IF(OR($C91="",$D91=""),"",IF($C91="Pinus pinaster",S91/(1+T91*EXP(-U91*$D91)),IF($C91="Quercus pyrenaica",S91*EXP(T91*EXP(-U91*$D91)),1.3+EXP(S91*EXP(-T91*$D91^(-U91)))))),"")</f>
        <v/>
      </c>
      <c r="N91" s="15" t="str">
        <f aca="false">IFERROR(IF($C91="Pinus sylvestris",IF(OR($D91="",$E91="",$F91=""),"",1.3+EXP((V91+W91*$E91)*EXP(-(X91+Y91*$F91)*$D91^(-(Z91+AA91*$E91))))),IF($C91="Pinus nigra",IF(OR($D91="",$E91="",$F91="",$J91=""),"",1.3+EXP((V91+W91*$J91)*EXP(-(X91+Y91*$F91)*$D91^(-(Z91+AA91*$E91))))),IF($C91="Pinus pinaster",IF(OR($D91="",$E91="",$H91="",$F91=""),"",(V91+W91*$E91)/(1+(X91+Y91*$H91)*EXP(-(Z91+AA91*$F91)*$D91))),IF($C91="Quercus pyrenaica",IF(OR($D91="",$E91="",$G91="",$J91=""),"",(V91+W91*$E91)*EXP((X91+Y91*$G91)*EXP(-(Z91+AA91*$J91)*$D91))),"")))),"")</f>
        <v/>
      </c>
      <c r="O91" s="15" t="str">
        <f aca="false">IFERROR(IF($C91="Pinus sylvestris",IF(OR($D91="",$H91="",$I91="",$J91=""),"",1.3+EXP((AB91+AC91*$H91)*EXP(-(AD91+AE91*$I91)*$D91^(-(AF91+AG91*$J91))))),IF($C91="Pinus nigra",IF(OR($D91="",$H91="",$L91="",$I91=""),"",1.3+EXP((AB91+AC91*$H91)*EXP(-(AD91+AE91*$L91)*$D91^(-(AF91+AG91*$I91))))),IF($C91="Pinus pinaster",IF(OR($D91="",$I91="",$K91=""),"",(AB91+AC91*$I91)/(1+(AD91+AE91*$K91)*EXP(-(AF91+AG91*$I91)*$D91))),IF($C91="Quercus pyrenaica",IF(OR($D91="",$L91="",$J91="",$I91=""),"",(AB91+AC91*$L91)*EXP((AD91+AE91*$J91)*EXP(-(AF91+AG91*$I91)*$D91))),"")))),"")</f>
        <v/>
      </c>
      <c r="P91" s="15" t="str">
        <f aca="false">IFERROR(IF(OR($C91="",$D91="",$E91="",$G91=""),"",1.3+(AH91+AI91*$E91-AJ91*$G91)*EXP(-AK91/SQRT($D91))),"")</f>
        <v/>
      </c>
      <c r="Q91" s="15" t="str">
        <f aca="false">IFERROR(IF(OR($C91="",$D91=""),"",1.3+AL91*(LN(1+$D91))^AM91),"")</f>
        <v/>
      </c>
      <c r="S91" s="1" t="str">
        <f aca="false">IF($C91="","",VLOOKUP($C91,coefs!$A:$V,2,FALSE()))</f>
        <v/>
      </c>
      <c r="T91" s="1" t="str">
        <f aca="false">IF($C91="","",VLOOKUP($C91,coefs!$A:$V,3,FALSE()))</f>
        <v/>
      </c>
      <c r="U91" s="1" t="str">
        <f aca="false">IF($C91="","",VLOOKUP($C91,coefs!$A:$V,4,FALSE()))</f>
        <v/>
      </c>
      <c r="V91" s="1" t="str">
        <f aca="false">IF($C91="","",VLOOKUP($C91,coefs!$A:$V,5,FALSE()))</f>
        <v/>
      </c>
      <c r="W91" s="1" t="str">
        <f aca="false">IF($C91="","",VLOOKUP($C91,coefs!$A:$V,6,FALSE()))</f>
        <v/>
      </c>
      <c r="X91" s="1" t="str">
        <f aca="false">IF($C91="","",VLOOKUP($C91,coefs!$A:$V,7,FALSE()))</f>
        <v/>
      </c>
      <c r="Y91" s="1" t="str">
        <f aca="false">IF($C91="","",VLOOKUP($C91,coefs!$A:$V,8,FALSE()))</f>
        <v/>
      </c>
      <c r="Z91" s="1" t="str">
        <f aca="false">IF($C91="","",VLOOKUP($C91,coefs!$A:$V,9,FALSE()))</f>
        <v/>
      </c>
      <c r="AA91" s="1" t="str">
        <f aca="false">IF($C91="","",VLOOKUP($C91,coefs!$A:$V,10,FALSE()))</f>
        <v/>
      </c>
      <c r="AB91" s="1" t="str">
        <f aca="false">IF($C91="","",VLOOKUP($C91,coefs!$A:$V,11,FALSE()))</f>
        <v/>
      </c>
      <c r="AC91" s="1" t="str">
        <f aca="false">IF($C91="","",VLOOKUP($C91,coefs!$A:$V,12,FALSE()))</f>
        <v/>
      </c>
      <c r="AD91" s="1" t="str">
        <f aca="false">IF($C91="","",VLOOKUP($C91,coefs!$A:$V,13,FALSE()))</f>
        <v/>
      </c>
      <c r="AE91" s="1" t="str">
        <f aca="false">IF($C91="","",VLOOKUP($C91,coefs!$A:$V,14,FALSE()))</f>
        <v/>
      </c>
      <c r="AF91" s="1" t="str">
        <f aca="false">IF($C91="","",VLOOKUP($C91,coefs!$A:$V,15,FALSE()))</f>
        <v/>
      </c>
      <c r="AG91" s="1" t="str">
        <f aca="false">IF($C91="","",VLOOKUP($C91,coefs!$A:$V,16,FALSE()))</f>
        <v/>
      </c>
      <c r="AH91" s="1" t="str">
        <f aca="false">IF($C91="","",VLOOKUP($C91,coefs!$A:$V,17,FALSE()))</f>
        <v/>
      </c>
      <c r="AI91" s="1" t="str">
        <f aca="false">IF($C91="","",VLOOKUP($C91,coefs!$A:$V,18,FALSE()))</f>
        <v/>
      </c>
      <c r="AJ91" s="1" t="str">
        <f aca="false">IF($C91="","",VLOOKUP($C91,coefs!$A:$V,19,FALSE()))</f>
        <v/>
      </c>
      <c r="AK91" s="1" t="str">
        <f aca="false">IF($C91="","",VLOOKUP($C91,coefs!$A:$V,20,FALSE()))</f>
        <v/>
      </c>
      <c r="AL91" s="1" t="str">
        <f aca="false">IF($C91="","",VLOOKUP($C91,coefs!$A:$V,21,FALSE()))</f>
        <v/>
      </c>
      <c r="AM91" s="1" t="str">
        <f aca="false">IF($C91="","",VLOOKUP($C91,coefs!$A:$V,22,FALSE()))</f>
        <v/>
      </c>
    </row>
    <row r="92" customFormat="false" ht="15" hidden="false" customHeight="true" outlineLevel="0" collapsed="false">
      <c r="A92" s="14"/>
      <c r="B92" s="14"/>
      <c r="C92" s="14"/>
      <c r="D92" s="15"/>
      <c r="E92" s="16"/>
      <c r="F92" s="16"/>
      <c r="G92" s="16"/>
      <c r="H92" s="17"/>
      <c r="I92" s="16"/>
      <c r="J92" s="16"/>
      <c r="K92" s="17"/>
      <c r="L92" s="17"/>
      <c r="M92" s="15" t="str">
        <f aca="false">IFERROR(IF(OR($C92="",$D92=""),"",IF($C92="Pinus pinaster",S92/(1+T92*EXP(-U92*$D92)),IF($C92="Quercus pyrenaica",S92*EXP(T92*EXP(-U92*$D92)),1.3+EXP(S92*EXP(-T92*$D92^(-U92)))))),"")</f>
        <v/>
      </c>
      <c r="N92" s="15" t="str">
        <f aca="false">IFERROR(IF($C92="Pinus sylvestris",IF(OR($D92="",$E92="",$F92=""),"",1.3+EXP((V92+W92*$E92)*EXP(-(X92+Y92*$F92)*$D92^(-(Z92+AA92*$E92))))),IF($C92="Pinus nigra",IF(OR($D92="",$E92="",$F92="",$J92=""),"",1.3+EXP((V92+W92*$J92)*EXP(-(X92+Y92*$F92)*$D92^(-(Z92+AA92*$E92))))),IF($C92="Pinus pinaster",IF(OR($D92="",$E92="",$H92="",$F92=""),"",(V92+W92*$E92)/(1+(X92+Y92*$H92)*EXP(-(Z92+AA92*$F92)*$D92))),IF($C92="Quercus pyrenaica",IF(OR($D92="",$E92="",$G92="",$J92=""),"",(V92+W92*$E92)*EXP((X92+Y92*$G92)*EXP(-(Z92+AA92*$J92)*$D92))),"")))),"")</f>
        <v/>
      </c>
      <c r="O92" s="15" t="str">
        <f aca="false">IFERROR(IF($C92="Pinus sylvestris",IF(OR($D92="",$H92="",$I92="",$J92=""),"",1.3+EXP((AB92+AC92*$H92)*EXP(-(AD92+AE92*$I92)*$D92^(-(AF92+AG92*$J92))))),IF($C92="Pinus nigra",IF(OR($D92="",$H92="",$L92="",$I92=""),"",1.3+EXP((AB92+AC92*$H92)*EXP(-(AD92+AE92*$L92)*$D92^(-(AF92+AG92*$I92))))),IF($C92="Pinus pinaster",IF(OR($D92="",$I92="",$K92=""),"",(AB92+AC92*$I92)/(1+(AD92+AE92*$K92)*EXP(-(AF92+AG92*$I92)*$D92))),IF($C92="Quercus pyrenaica",IF(OR($D92="",$L92="",$J92="",$I92=""),"",(AB92+AC92*$L92)*EXP((AD92+AE92*$J92)*EXP(-(AF92+AG92*$I92)*$D92))),"")))),"")</f>
        <v/>
      </c>
      <c r="P92" s="15" t="str">
        <f aca="false">IFERROR(IF(OR($C92="",$D92="",$E92="",$G92=""),"",1.3+(AH92+AI92*$E92-AJ92*$G92)*EXP(-AK92/SQRT($D92))),"")</f>
        <v/>
      </c>
      <c r="Q92" s="15" t="str">
        <f aca="false">IFERROR(IF(OR($C92="",$D92=""),"",1.3+AL92*(LN(1+$D92))^AM92),"")</f>
        <v/>
      </c>
      <c r="S92" s="1" t="str">
        <f aca="false">IF($C92="","",VLOOKUP($C92,coefs!$A:$V,2,FALSE()))</f>
        <v/>
      </c>
      <c r="T92" s="1" t="str">
        <f aca="false">IF($C92="","",VLOOKUP($C92,coefs!$A:$V,3,FALSE()))</f>
        <v/>
      </c>
      <c r="U92" s="1" t="str">
        <f aca="false">IF($C92="","",VLOOKUP($C92,coefs!$A:$V,4,FALSE()))</f>
        <v/>
      </c>
      <c r="V92" s="1" t="str">
        <f aca="false">IF($C92="","",VLOOKUP($C92,coefs!$A:$V,5,FALSE()))</f>
        <v/>
      </c>
      <c r="W92" s="1" t="str">
        <f aca="false">IF($C92="","",VLOOKUP($C92,coefs!$A:$V,6,FALSE()))</f>
        <v/>
      </c>
      <c r="X92" s="1" t="str">
        <f aca="false">IF($C92="","",VLOOKUP($C92,coefs!$A:$V,7,FALSE()))</f>
        <v/>
      </c>
      <c r="Y92" s="1" t="str">
        <f aca="false">IF($C92="","",VLOOKUP($C92,coefs!$A:$V,8,FALSE()))</f>
        <v/>
      </c>
      <c r="Z92" s="1" t="str">
        <f aca="false">IF($C92="","",VLOOKUP($C92,coefs!$A:$V,9,FALSE()))</f>
        <v/>
      </c>
      <c r="AA92" s="1" t="str">
        <f aca="false">IF($C92="","",VLOOKUP($C92,coefs!$A:$V,10,FALSE()))</f>
        <v/>
      </c>
      <c r="AB92" s="1" t="str">
        <f aca="false">IF($C92="","",VLOOKUP($C92,coefs!$A:$V,11,FALSE()))</f>
        <v/>
      </c>
      <c r="AC92" s="1" t="str">
        <f aca="false">IF($C92="","",VLOOKUP($C92,coefs!$A:$V,12,FALSE()))</f>
        <v/>
      </c>
      <c r="AD92" s="1" t="str">
        <f aca="false">IF($C92="","",VLOOKUP($C92,coefs!$A:$V,13,FALSE()))</f>
        <v/>
      </c>
      <c r="AE92" s="1" t="str">
        <f aca="false">IF($C92="","",VLOOKUP($C92,coefs!$A:$V,14,FALSE()))</f>
        <v/>
      </c>
      <c r="AF92" s="1" t="str">
        <f aca="false">IF($C92="","",VLOOKUP($C92,coefs!$A:$V,15,FALSE()))</f>
        <v/>
      </c>
      <c r="AG92" s="1" t="str">
        <f aca="false">IF($C92="","",VLOOKUP($C92,coefs!$A:$V,16,FALSE()))</f>
        <v/>
      </c>
      <c r="AH92" s="1" t="str">
        <f aca="false">IF($C92="","",VLOOKUP($C92,coefs!$A:$V,17,FALSE()))</f>
        <v/>
      </c>
      <c r="AI92" s="1" t="str">
        <f aca="false">IF($C92="","",VLOOKUP($C92,coefs!$A:$V,18,FALSE()))</f>
        <v/>
      </c>
      <c r="AJ92" s="1" t="str">
        <f aca="false">IF($C92="","",VLOOKUP($C92,coefs!$A:$V,19,FALSE()))</f>
        <v/>
      </c>
      <c r="AK92" s="1" t="str">
        <f aca="false">IF($C92="","",VLOOKUP($C92,coefs!$A:$V,20,FALSE()))</f>
        <v/>
      </c>
      <c r="AL92" s="1" t="str">
        <f aca="false">IF($C92="","",VLOOKUP($C92,coefs!$A:$V,21,FALSE()))</f>
        <v/>
      </c>
      <c r="AM92" s="1" t="str">
        <f aca="false">IF($C92="","",VLOOKUP($C92,coefs!$A:$V,22,FALSE()))</f>
        <v/>
      </c>
    </row>
    <row r="93" customFormat="false" ht="15" hidden="false" customHeight="true" outlineLevel="0" collapsed="false">
      <c r="A93" s="14"/>
      <c r="B93" s="14"/>
      <c r="C93" s="14"/>
      <c r="D93" s="15"/>
      <c r="E93" s="16"/>
      <c r="F93" s="16"/>
      <c r="G93" s="16"/>
      <c r="H93" s="17"/>
      <c r="I93" s="16"/>
      <c r="J93" s="16"/>
      <c r="K93" s="17"/>
      <c r="L93" s="17"/>
      <c r="M93" s="15" t="str">
        <f aca="false">IFERROR(IF(OR($C93="",$D93=""),"",IF($C93="Pinus pinaster",S93/(1+T93*EXP(-U93*$D93)),IF($C93="Quercus pyrenaica",S93*EXP(T93*EXP(-U93*$D93)),1.3+EXP(S93*EXP(-T93*$D93^(-U93)))))),"")</f>
        <v/>
      </c>
      <c r="N93" s="15" t="str">
        <f aca="false">IFERROR(IF($C93="Pinus sylvestris",IF(OR($D93="",$E93="",$F93=""),"",1.3+EXP((V93+W93*$E93)*EXP(-(X93+Y93*$F93)*$D93^(-(Z93+AA93*$E93))))),IF($C93="Pinus nigra",IF(OR($D93="",$E93="",$F93="",$J93=""),"",1.3+EXP((V93+W93*$J93)*EXP(-(X93+Y93*$F93)*$D93^(-(Z93+AA93*$E93))))),IF($C93="Pinus pinaster",IF(OR($D93="",$E93="",$H93="",$F93=""),"",(V93+W93*$E93)/(1+(X93+Y93*$H93)*EXP(-(Z93+AA93*$F93)*$D93))),IF($C93="Quercus pyrenaica",IF(OR($D93="",$E93="",$G93="",$J93=""),"",(V93+W93*$E93)*EXP((X93+Y93*$G93)*EXP(-(Z93+AA93*$J93)*$D93))),"")))),"")</f>
        <v/>
      </c>
      <c r="O93" s="15" t="str">
        <f aca="false">IFERROR(IF($C93="Pinus sylvestris",IF(OR($D93="",$H93="",$I93="",$J93=""),"",1.3+EXP((AB93+AC93*$H93)*EXP(-(AD93+AE93*$I93)*$D93^(-(AF93+AG93*$J93))))),IF($C93="Pinus nigra",IF(OR($D93="",$H93="",$L93="",$I93=""),"",1.3+EXP((AB93+AC93*$H93)*EXP(-(AD93+AE93*$L93)*$D93^(-(AF93+AG93*$I93))))),IF($C93="Pinus pinaster",IF(OR($D93="",$I93="",$K93=""),"",(AB93+AC93*$I93)/(1+(AD93+AE93*$K93)*EXP(-(AF93+AG93*$I93)*$D93))),IF($C93="Quercus pyrenaica",IF(OR($D93="",$L93="",$J93="",$I93=""),"",(AB93+AC93*$L93)*EXP((AD93+AE93*$J93)*EXP(-(AF93+AG93*$I93)*$D93))),"")))),"")</f>
        <v/>
      </c>
      <c r="P93" s="15" t="str">
        <f aca="false">IFERROR(IF(OR($C93="",$D93="",$E93="",$G93=""),"",1.3+(AH93+AI93*$E93-AJ93*$G93)*EXP(-AK93/SQRT($D93))),"")</f>
        <v/>
      </c>
      <c r="Q93" s="15" t="str">
        <f aca="false">IFERROR(IF(OR($C93="",$D93=""),"",1.3+AL93*(LN(1+$D93))^AM93),"")</f>
        <v/>
      </c>
      <c r="S93" s="1" t="str">
        <f aca="false">IF($C93="","",VLOOKUP($C93,coefs!$A:$V,2,FALSE()))</f>
        <v/>
      </c>
      <c r="T93" s="1" t="str">
        <f aca="false">IF($C93="","",VLOOKUP($C93,coefs!$A:$V,3,FALSE()))</f>
        <v/>
      </c>
      <c r="U93" s="1" t="str">
        <f aca="false">IF($C93="","",VLOOKUP($C93,coefs!$A:$V,4,FALSE()))</f>
        <v/>
      </c>
      <c r="V93" s="1" t="str">
        <f aca="false">IF($C93="","",VLOOKUP($C93,coefs!$A:$V,5,FALSE()))</f>
        <v/>
      </c>
      <c r="W93" s="1" t="str">
        <f aca="false">IF($C93="","",VLOOKUP($C93,coefs!$A:$V,6,FALSE()))</f>
        <v/>
      </c>
      <c r="X93" s="1" t="str">
        <f aca="false">IF($C93="","",VLOOKUP($C93,coefs!$A:$V,7,FALSE()))</f>
        <v/>
      </c>
      <c r="Y93" s="1" t="str">
        <f aca="false">IF($C93="","",VLOOKUP($C93,coefs!$A:$V,8,FALSE()))</f>
        <v/>
      </c>
      <c r="Z93" s="1" t="str">
        <f aca="false">IF($C93="","",VLOOKUP($C93,coefs!$A:$V,9,FALSE()))</f>
        <v/>
      </c>
      <c r="AA93" s="1" t="str">
        <f aca="false">IF($C93="","",VLOOKUP($C93,coefs!$A:$V,10,FALSE()))</f>
        <v/>
      </c>
      <c r="AB93" s="1" t="str">
        <f aca="false">IF($C93="","",VLOOKUP($C93,coefs!$A:$V,11,FALSE()))</f>
        <v/>
      </c>
      <c r="AC93" s="1" t="str">
        <f aca="false">IF($C93="","",VLOOKUP($C93,coefs!$A:$V,12,FALSE()))</f>
        <v/>
      </c>
      <c r="AD93" s="1" t="str">
        <f aca="false">IF($C93="","",VLOOKUP($C93,coefs!$A:$V,13,FALSE()))</f>
        <v/>
      </c>
      <c r="AE93" s="1" t="str">
        <f aca="false">IF($C93="","",VLOOKUP($C93,coefs!$A:$V,14,FALSE()))</f>
        <v/>
      </c>
      <c r="AF93" s="1" t="str">
        <f aca="false">IF($C93="","",VLOOKUP($C93,coefs!$A:$V,15,FALSE()))</f>
        <v/>
      </c>
      <c r="AG93" s="1" t="str">
        <f aca="false">IF($C93="","",VLOOKUP($C93,coefs!$A:$V,16,FALSE()))</f>
        <v/>
      </c>
      <c r="AH93" s="1" t="str">
        <f aca="false">IF($C93="","",VLOOKUP($C93,coefs!$A:$V,17,FALSE()))</f>
        <v/>
      </c>
      <c r="AI93" s="1" t="str">
        <f aca="false">IF($C93="","",VLOOKUP($C93,coefs!$A:$V,18,FALSE()))</f>
        <v/>
      </c>
      <c r="AJ93" s="1" t="str">
        <f aca="false">IF($C93="","",VLOOKUP($C93,coefs!$A:$V,19,FALSE()))</f>
        <v/>
      </c>
      <c r="AK93" s="1" t="str">
        <f aca="false">IF($C93="","",VLOOKUP($C93,coefs!$A:$V,20,FALSE()))</f>
        <v/>
      </c>
      <c r="AL93" s="1" t="str">
        <f aca="false">IF($C93="","",VLOOKUP($C93,coefs!$A:$V,21,FALSE()))</f>
        <v/>
      </c>
      <c r="AM93" s="1" t="str">
        <f aca="false">IF($C93="","",VLOOKUP($C93,coefs!$A:$V,22,FALSE()))</f>
        <v/>
      </c>
    </row>
    <row r="94" customFormat="false" ht="15" hidden="false" customHeight="true" outlineLevel="0" collapsed="false">
      <c r="A94" s="14"/>
      <c r="B94" s="14"/>
      <c r="C94" s="14"/>
      <c r="D94" s="15"/>
      <c r="E94" s="16"/>
      <c r="F94" s="16"/>
      <c r="G94" s="16"/>
      <c r="H94" s="17"/>
      <c r="I94" s="16"/>
      <c r="J94" s="16"/>
      <c r="K94" s="17"/>
      <c r="L94" s="17"/>
      <c r="M94" s="15" t="str">
        <f aca="false">IFERROR(IF(OR($C94="",$D94=""),"",IF($C94="Pinus pinaster",S94/(1+T94*EXP(-U94*$D94)),IF($C94="Quercus pyrenaica",S94*EXP(T94*EXP(-U94*$D94)),1.3+EXP(S94*EXP(-T94*$D94^(-U94)))))),"")</f>
        <v/>
      </c>
      <c r="N94" s="15" t="str">
        <f aca="false">IFERROR(IF($C94="Pinus sylvestris",IF(OR($D94="",$E94="",$F94=""),"",1.3+EXP((V94+W94*$E94)*EXP(-(X94+Y94*$F94)*$D94^(-(Z94+AA94*$E94))))),IF($C94="Pinus nigra",IF(OR($D94="",$E94="",$F94="",$J94=""),"",1.3+EXP((V94+W94*$J94)*EXP(-(X94+Y94*$F94)*$D94^(-(Z94+AA94*$E94))))),IF($C94="Pinus pinaster",IF(OR($D94="",$E94="",$H94="",$F94=""),"",(V94+W94*$E94)/(1+(X94+Y94*$H94)*EXP(-(Z94+AA94*$F94)*$D94))),IF($C94="Quercus pyrenaica",IF(OR($D94="",$E94="",$G94="",$J94=""),"",(V94+W94*$E94)*EXP((X94+Y94*$G94)*EXP(-(Z94+AA94*$J94)*$D94))),"")))),"")</f>
        <v/>
      </c>
      <c r="O94" s="15" t="str">
        <f aca="false">IFERROR(IF($C94="Pinus sylvestris",IF(OR($D94="",$H94="",$I94="",$J94=""),"",1.3+EXP((AB94+AC94*$H94)*EXP(-(AD94+AE94*$I94)*$D94^(-(AF94+AG94*$J94))))),IF($C94="Pinus nigra",IF(OR($D94="",$H94="",$L94="",$I94=""),"",1.3+EXP((AB94+AC94*$H94)*EXP(-(AD94+AE94*$L94)*$D94^(-(AF94+AG94*$I94))))),IF($C94="Pinus pinaster",IF(OR($D94="",$I94="",$K94=""),"",(AB94+AC94*$I94)/(1+(AD94+AE94*$K94)*EXP(-(AF94+AG94*$I94)*$D94))),IF($C94="Quercus pyrenaica",IF(OR($D94="",$L94="",$J94="",$I94=""),"",(AB94+AC94*$L94)*EXP((AD94+AE94*$J94)*EXP(-(AF94+AG94*$I94)*$D94))),"")))),"")</f>
        <v/>
      </c>
      <c r="P94" s="15" t="str">
        <f aca="false">IFERROR(IF(OR($C94="",$D94="",$E94="",$G94=""),"",1.3+(AH94+AI94*$E94-AJ94*$G94)*EXP(-AK94/SQRT($D94))),"")</f>
        <v/>
      </c>
      <c r="Q94" s="15" t="str">
        <f aca="false">IFERROR(IF(OR($C94="",$D94=""),"",1.3+AL94*(LN(1+$D94))^AM94),"")</f>
        <v/>
      </c>
      <c r="S94" s="1" t="str">
        <f aca="false">IF($C94="","",VLOOKUP($C94,coefs!$A:$V,2,FALSE()))</f>
        <v/>
      </c>
      <c r="T94" s="1" t="str">
        <f aca="false">IF($C94="","",VLOOKUP($C94,coefs!$A:$V,3,FALSE()))</f>
        <v/>
      </c>
      <c r="U94" s="1" t="str">
        <f aca="false">IF($C94="","",VLOOKUP($C94,coefs!$A:$V,4,FALSE()))</f>
        <v/>
      </c>
      <c r="V94" s="1" t="str">
        <f aca="false">IF($C94="","",VLOOKUP($C94,coefs!$A:$V,5,FALSE()))</f>
        <v/>
      </c>
      <c r="W94" s="1" t="str">
        <f aca="false">IF($C94="","",VLOOKUP($C94,coefs!$A:$V,6,FALSE()))</f>
        <v/>
      </c>
      <c r="X94" s="1" t="str">
        <f aca="false">IF($C94="","",VLOOKUP($C94,coefs!$A:$V,7,FALSE()))</f>
        <v/>
      </c>
      <c r="Y94" s="1" t="str">
        <f aca="false">IF($C94="","",VLOOKUP($C94,coefs!$A:$V,8,FALSE()))</f>
        <v/>
      </c>
      <c r="Z94" s="1" t="str">
        <f aca="false">IF($C94="","",VLOOKUP($C94,coefs!$A:$V,9,FALSE()))</f>
        <v/>
      </c>
      <c r="AA94" s="1" t="str">
        <f aca="false">IF($C94="","",VLOOKUP($C94,coefs!$A:$V,10,FALSE()))</f>
        <v/>
      </c>
      <c r="AB94" s="1" t="str">
        <f aca="false">IF($C94="","",VLOOKUP($C94,coefs!$A:$V,11,FALSE()))</f>
        <v/>
      </c>
      <c r="AC94" s="1" t="str">
        <f aca="false">IF($C94="","",VLOOKUP($C94,coefs!$A:$V,12,FALSE()))</f>
        <v/>
      </c>
      <c r="AD94" s="1" t="str">
        <f aca="false">IF($C94="","",VLOOKUP($C94,coefs!$A:$V,13,FALSE()))</f>
        <v/>
      </c>
      <c r="AE94" s="1" t="str">
        <f aca="false">IF($C94="","",VLOOKUP($C94,coefs!$A:$V,14,FALSE()))</f>
        <v/>
      </c>
      <c r="AF94" s="1" t="str">
        <f aca="false">IF($C94="","",VLOOKUP($C94,coefs!$A:$V,15,FALSE()))</f>
        <v/>
      </c>
      <c r="AG94" s="1" t="str">
        <f aca="false">IF($C94="","",VLOOKUP($C94,coefs!$A:$V,16,FALSE()))</f>
        <v/>
      </c>
      <c r="AH94" s="1" t="str">
        <f aca="false">IF($C94="","",VLOOKUP($C94,coefs!$A:$V,17,FALSE()))</f>
        <v/>
      </c>
      <c r="AI94" s="1" t="str">
        <f aca="false">IF($C94="","",VLOOKUP($C94,coefs!$A:$V,18,FALSE()))</f>
        <v/>
      </c>
      <c r="AJ94" s="1" t="str">
        <f aca="false">IF($C94="","",VLOOKUP($C94,coefs!$A:$V,19,FALSE()))</f>
        <v/>
      </c>
      <c r="AK94" s="1" t="str">
        <f aca="false">IF($C94="","",VLOOKUP($C94,coefs!$A:$V,20,FALSE()))</f>
        <v/>
      </c>
      <c r="AL94" s="1" t="str">
        <f aca="false">IF($C94="","",VLOOKUP($C94,coefs!$A:$V,21,FALSE()))</f>
        <v/>
      </c>
      <c r="AM94" s="1" t="str">
        <f aca="false">IF($C94="","",VLOOKUP($C94,coefs!$A:$V,22,FALSE()))</f>
        <v/>
      </c>
    </row>
    <row r="95" customFormat="false" ht="15" hidden="false" customHeight="true" outlineLevel="0" collapsed="false">
      <c r="A95" s="14"/>
      <c r="B95" s="14"/>
      <c r="C95" s="14"/>
      <c r="D95" s="15"/>
      <c r="E95" s="16"/>
      <c r="F95" s="16"/>
      <c r="G95" s="16"/>
      <c r="H95" s="17"/>
      <c r="I95" s="16"/>
      <c r="J95" s="16"/>
      <c r="K95" s="17"/>
      <c r="L95" s="17"/>
      <c r="M95" s="15" t="str">
        <f aca="false">IFERROR(IF(OR($C95="",$D95=""),"",IF($C95="Pinus pinaster",S95/(1+T95*EXP(-U95*$D95)),IF($C95="Quercus pyrenaica",S95*EXP(T95*EXP(-U95*$D95)),1.3+EXP(S95*EXP(-T95*$D95^(-U95)))))),"")</f>
        <v/>
      </c>
      <c r="N95" s="15" t="str">
        <f aca="false">IFERROR(IF($C95="Pinus sylvestris",IF(OR($D95="",$E95="",$F95=""),"",1.3+EXP((V95+W95*$E95)*EXP(-(X95+Y95*$F95)*$D95^(-(Z95+AA95*$E95))))),IF($C95="Pinus nigra",IF(OR($D95="",$E95="",$F95="",$J95=""),"",1.3+EXP((V95+W95*$J95)*EXP(-(X95+Y95*$F95)*$D95^(-(Z95+AA95*$E95))))),IF($C95="Pinus pinaster",IF(OR($D95="",$E95="",$H95="",$F95=""),"",(V95+W95*$E95)/(1+(X95+Y95*$H95)*EXP(-(Z95+AA95*$F95)*$D95))),IF($C95="Quercus pyrenaica",IF(OR($D95="",$E95="",$G95="",$J95=""),"",(V95+W95*$E95)*EXP((X95+Y95*$G95)*EXP(-(Z95+AA95*$J95)*$D95))),"")))),"")</f>
        <v/>
      </c>
      <c r="O95" s="15" t="str">
        <f aca="false">IFERROR(IF($C95="Pinus sylvestris",IF(OR($D95="",$H95="",$I95="",$J95=""),"",1.3+EXP((AB95+AC95*$H95)*EXP(-(AD95+AE95*$I95)*$D95^(-(AF95+AG95*$J95))))),IF($C95="Pinus nigra",IF(OR($D95="",$H95="",$L95="",$I95=""),"",1.3+EXP((AB95+AC95*$H95)*EXP(-(AD95+AE95*$L95)*$D95^(-(AF95+AG95*$I95))))),IF($C95="Pinus pinaster",IF(OR($D95="",$I95="",$K95=""),"",(AB95+AC95*$I95)/(1+(AD95+AE95*$K95)*EXP(-(AF95+AG95*$I95)*$D95))),IF($C95="Quercus pyrenaica",IF(OR($D95="",$L95="",$J95="",$I95=""),"",(AB95+AC95*$L95)*EXP((AD95+AE95*$J95)*EXP(-(AF95+AG95*$I95)*$D95))),"")))),"")</f>
        <v/>
      </c>
      <c r="P95" s="15" t="str">
        <f aca="false">IFERROR(IF(OR($C95="",$D95="",$E95="",$G95=""),"",1.3+(AH95+AI95*$E95-AJ95*$G95)*EXP(-AK95/SQRT($D95))),"")</f>
        <v/>
      </c>
      <c r="Q95" s="15" t="str">
        <f aca="false">IFERROR(IF(OR($C95="",$D95=""),"",1.3+AL95*(LN(1+$D95))^AM95),"")</f>
        <v/>
      </c>
      <c r="S95" s="1" t="str">
        <f aca="false">IF($C95="","",VLOOKUP($C95,coefs!$A:$V,2,FALSE()))</f>
        <v/>
      </c>
      <c r="T95" s="1" t="str">
        <f aca="false">IF($C95="","",VLOOKUP($C95,coefs!$A:$V,3,FALSE()))</f>
        <v/>
      </c>
      <c r="U95" s="1" t="str">
        <f aca="false">IF($C95="","",VLOOKUP($C95,coefs!$A:$V,4,FALSE()))</f>
        <v/>
      </c>
      <c r="V95" s="1" t="str">
        <f aca="false">IF($C95="","",VLOOKUP($C95,coefs!$A:$V,5,FALSE()))</f>
        <v/>
      </c>
      <c r="W95" s="1" t="str">
        <f aca="false">IF($C95="","",VLOOKUP($C95,coefs!$A:$V,6,FALSE()))</f>
        <v/>
      </c>
      <c r="X95" s="1" t="str">
        <f aca="false">IF($C95="","",VLOOKUP($C95,coefs!$A:$V,7,FALSE()))</f>
        <v/>
      </c>
      <c r="Y95" s="1" t="str">
        <f aca="false">IF($C95="","",VLOOKUP($C95,coefs!$A:$V,8,FALSE()))</f>
        <v/>
      </c>
      <c r="Z95" s="1" t="str">
        <f aca="false">IF($C95="","",VLOOKUP($C95,coefs!$A:$V,9,FALSE()))</f>
        <v/>
      </c>
      <c r="AA95" s="1" t="str">
        <f aca="false">IF($C95="","",VLOOKUP($C95,coefs!$A:$V,10,FALSE()))</f>
        <v/>
      </c>
      <c r="AB95" s="1" t="str">
        <f aca="false">IF($C95="","",VLOOKUP($C95,coefs!$A:$V,11,FALSE()))</f>
        <v/>
      </c>
      <c r="AC95" s="1" t="str">
        <f aca="false">IF($C95="","",VLOOKUP($C95,coefs!$A:$V,12,FALSE()))</f>
        <v/>
      </c>
      <c r="AD95" s="1" t="str">
        <f aca="false">IF($C95="","",VLOOKUP($C95,coefs!$A:$V,13,FALSE()))</f>
        <v/>
      </c>
      <c r="AE95" s="1" t="str">
        <f aca="false">IF($C95="","",VLOOKUP($C95,coefs!$A:$V,14,FALSE()))</f>
        <v/>
      </c>
      <c r="AF95" s="1" t="str">
        <f aca="false">IF($C95="","",VLOOKUP($C95,coefs!$A:$V,15,FALSE()))</f>
        <v/>
      </c>
      <c r="AG95" s="1" t="str">
        <f aca="false">IF($C95="","",VLOOKUP($C95,coefs!$A:$V,16,FALSE()))</f>
        <v/>
      </c>
      <c r="AH95" s="1" t="str">
        <f aca="false">IF($C95="","",VLOOKUP($C95,coefs!$A:$V,17,FALSE()))</f>
        <v/>
      </c>
      <c r="AI95" s="1" t="str">
        <f aca="false">IF($C95="","",VLOOKUP($C95,coefs!$A:$V,18,FALSE()))</f>
        <v/>
      </c>
      <c r="AJ95" s="1" t="str">
        <f aca="false">IF($C95="","",VLOOKUP($C95,coefs!$A:$V,19,FALSE()))</f>
        <v/>
      </c>
      <c r="AK95" s="1" t="str">
        <f aca="false">IF($C95="","",VLOOKUP($C95,coefs!$A:$V,20,FALSE()))</f>
        <v/>
      </c>
      <c r="AL95" s="1" t="str">
        <f aca="false">IF($C95="","",VLOOKUP($C95,coefs!$A:$V,21,FALSE()))</f>
        <v/>
      </c>
      <c r="AM95" s="1" t="str">
        <f aca="false">IF($C95="","",VLOOKUP($C95,coefs!$A:$V,22,FALSE()))</f>
        <v/>
      </c>
    </row>
    <row r="96" customFormat="false" ht="15" hidden="false" customHeight="true" outlineLevel="0" collapsed="false">
      <c r="A96" s="14"/>
      <c r="B96" s="14"/>
      <c r="C96" s="14"/>
      <c r="D96" s="15"/>
      <c r="E96" s="16"/>
      <c r="F96" s="16"/>
      <c r="G96" s="16"/>
      <c r="H96" s="17"/>
      <c r="I96" s="16"/>
      <c r="J96" s="16"/>
      <c r="K96" s="17"/>
      <c r="L96" s="17"/>
      <c r="M96" s="15" t="str">
        <f aca="false">IFERROR(IF(OR($C96="",$D96=""),"",IF($C96="Pinus pinaster",S96/(1+T96*EXP(-U96*$D96)),IF($C96="Quercus pyrenaica",S96*EXP(T96*EXP(-U96*$D96)),1.3+EXP(S96*EXP(-T96*$D96^(-U96)))))),"")</f>
        <v/>
      </c>
      <c r="N96" s="15" t="str">
        <f aca="false">IFERROR(IF($C96="Pinus sylvestris",IF(OR($D96="",$E96="",$F96=""),"",1.3+EXP((V96+W96*$E96)*EXP(-(X96+Y96*$F96)*$D96^(-(Z96+AA96*$E96))))),IF($C96="Pinus nigra",IF(OR($D96="",$E96="",$F96="",$J96=""),"",1.3+EXP((V96+W96*$J96)*EXP(-(X96+Y96*$F96)*$D96^(-(Z96+AA96*$E96))))),IF($C96="Pinus pinaster",IF(OR($D96="",$E96="",$H96="",$F96=""),"",(V96+W96*$E96)/(1+(X96+Y96*$H96)*EXP(-(Z96+AA96*$F96)*$D96))),IF($C96="Quercus pyrenaica",IF(OR($D96="",$E96="",$G96="",$J96=""),"",(V96+W96*$E96)*EXP((X96+Y96*$G96)*EXP(-(Z96+AA96*$J96)*$D96))),"")))),"")</f>
        <v/>
      </c>
      <c r="O96" s="15" t="str">
        <f aca="false">IFERROR(IF($C96="Pinus sylvestris",IF(OR($D96="",$H96="",$I96="",$J96=""),"",1.3+EXP((AB96+AC96*$H96)*EXP(-(AD96+AE96*$I96)*$D96^(-(AF96+AG96*$J96))))),IF($C96="Pinus nigra",IF(OR($D96="",$H96="",$L96="",$I96=""),"",1.3+EXP((AB96+AC96*$H96)*EXP(-(AD96+AE96*$L96)*$D96^(-(AF96+AG96*$I96))))),IF($C96="Pinus pinaster",IF(OR($D96="",$I96="",$K96=""),"",(AB96+AC96*$I96)/(1+(AD96+AE96*$K96)*EXP(-(AF96+AG96*$I96)*$D96))),IF($C96="Quercus pyrenaica",IF(OR($D96="",$L96="",$J96="",$I96=""),"",(AB96+AC96*$L96)*EXP((AD96+AE96*$J96)*EXP(-(AF96+AG96*$I96)*$D96))),"")))),"")</f>
        <v/>
      </c>
      <c r="P96" s="15" t="str">
        <f aca="false">IFERROR(IF(OR($C96="",$D96="",$E96="",$G96=""),"",1.3+(AH96+AI96*$E96-AJ96*$G96)*EXP(-AK96/SQRT($D96))),"")</f>
        <v/>
      </c>
      <c r="Q96" s="15" t="str">
        <f aca="false">IFERROR(IF(OR($C96="",$D96=""),"",1.3+AL96*(LN(1+$D96))^AM96),"")</f>
        <v/>
      </c>
      <c r="S96" s="1" t="str">
        <f aca="false">IF($C96="","",VLOOKUP($C96,coefs!$A:$V,2,FALSE()))</f>
        <v/>
      </c>
      <c r="T96" s="1" t="str">
        <f aca="false">IF($C96="","",VLOOKUP($C96,coefs!$A:$V,3,FALSE()))</f>
        <v/>
      </c>
      <c r="U96" s="1" t="str">
        <f aca="false">IF($C96="","",VLOOKUP($C96,coefs!$A:$V,4,FALSE()))</f>
        <v/>
      </c>
      <c r="V96" s="1" t="str">
        <f aca="false">IF($C96="","",VLOOKUP($C96,coefs!$A:$V,5,FALSE()))</f>
        <v/>
      </c>
      <c r="W96" s="1" t="str">
        <f aca="false">IF($C96="","",VLOOKUP($C96,coefs!$A:$V,6,FALSE()))</f>
        <v/>
      </c>
      <c r="X96" s="1" t="str">
        <f aca="false">IF($C96="","",VLOOKUP($C96,coefs!$A:$V,7,FALSE()))</f>
        <v/>
      </c>
      <c r="Y96" s="1" t="str">
        <f aca="false">IF($C96="","",VLOOKUP($C96,coefs!$A:$V,8,FALSE()))</f>
        <v/>
      </c>
      <c r="Z96" s="1" t="str">
        <f aca="false">IF($C96="","",VLOOKUP($C96,coefs!$A:$V,9,FALSE()))</f>
        <v/>
      </c>
      <c r="AA96" s="1" t="str">
        <f aca="false">IF($C96="","",VLOOKUP($C96,coefs!$A:$V,10,FALSE()))</f>
        <v/>
      </c>
      <c r="AB96" s="1" t="str">
        <f aca="false">IF($C96="","",VLOOKUP($C96,coefs!$A:$V,11,FALSE()))</f>
        <v/>
      </c>
      <c r="AC96" s="1" t="str">
        <f aca="false">IF($C96="","",VLOOKUP($C96,coefs!$A:$V,12,FALSE()))</f>
        <v/>
      </c>
      <c r="AD96" s="1" t="str">
        <f aca="false">IF($C96="","",VLOOKUP($C96,coefs!$A:$V,13,FALSE()))</f>
        <v/>
      </c>
      <c r="AE96" s="1" t="str">
        <f aca="false">IF($C96="","",VLOOKUP($C96,coefs!$A:$V,14,FALSE()))</f>
        <v/>
      </c>
      <c r="AF96" s="1" t="str">
        <f aca="false">IF($C96="","",VLOOKUP($C96,coefs!$A:$V,15,FALSE()))</f>
        <v/>
      </c>
      <c r="AG96" s="1" t="str">
        <f aca="false">IF($C96="","",VLOOKUP($C96,coefs!$A:$V,16,FALSE()))</f>
        <v/>
      </c>
      <c r="AH96" s="1" t="str">
        <f aca="false">IF($C96="","",VLOOKUP($C96,coefs!$A:$V,17,FALSE()))</f>
        <v/>
      </c>
      <c r="AI96" s="1" t="str">
        <f aca="false">IF($C96="","",VLOOKUP($C96,coefs!$A:$V,18,FALSE()))</f>
        <v/>
      </c>
      <c r="AJ96" s="1" t="str">
        <f aca="false">IF($C96="","",VLOOKUP($C96,coefs!$A:$V,19,FALSE()))</f>
        <v/>
      </c>
      <c r="AK96" s="1" t="str">
        <f aca="false">IF($C96="","",VLOOKUP($C96,coefs!$A:$V,20,FALSE()))</f>
        <v/>
      </c>
      <c r="AL96" s="1" t="str">
        <f aca="false">IF($C96="","",VLOOKUP($C96,coefs!$A:$V,21,FALSE()))</f>
        <v/>
      </c>
      <c r="AM96" s="1" t="str">
        <f aca="false">IF($C96="","",VLOOKUP($C96,coefs!$A:$V,22,FALSE()))</f>
        <v/>
      </c>
    </row>
    <row r="97" customFormat="false" ht="15" hidden="false" customHeight="true" outlineLevel="0" collapsed="false">
      <c r="A97" s="14"/>
      <c r="B97" s="14"/>
      <c r="C97" s="14"/>
      <c r="D97" s="15"/>
      <c r="E97" s="16"/>
      <c r="F97" s="16"/>
      <c r="G97" s="16"/>
      <c r="H97" s="17"/>
      <c r="I97" s="16"/>
      <c r="J97" s="16"/>
      <c r="K97" s="17"/>
      <c r="L97" s="17"/>
      <c r="M97" s="15" t="str">
        <f aca="false">IFERROR(IF(OR($C97="",$D97=""),"",IF($C97="Pinus pinaster",S97/(1+T97*EXP(-U97*$D97)),IF($C97="Quercus pyrenaica",S97*EXP(T97*EXP(-U97*$D97)),1.3+EXP(S97*EXP(-T97*$D97^(-U97)))))),"")</f>
        <v/>
      </c>
      <c r="N97" s="15" t="str">
        <f aca="false">IFERROR(IF($C97="Pinus sylvestris",IF(OR($D97="",$E97="",$F97=""),"",1.3+EXP((V97+W97*$E97)*EXP(-(X97+Y97*$F97)*$D97^(-(Z97+AA97*$E97))))),IF($C97="Pinus nigra",IF(OR($D97="",$E97="",$F97="",$J97=""),"",1.3+EXP((V97+W97*$J97)*EXP(-(X97+Y97*$F97)*$D97^(-(Z97+AA97*$E97))))),IF($C97="Pinus pinaster",IF(OR($D97="",$E97="",$H97="",$F97=""),"",(V97+W97*$E97)/(1+(X97+Y97*$H97)*EXP(-(Z97+AA97*$F97)*$D97))),IF($C97="Quercus pyrenaica",IF(OR($D97="",$E97="",$G97="",$J97=""),"",(V97+W97*$E97)*EXP((X97+Y97*$G97)*EXP(-(Z97+AA97*$J97)*$D97))),"")))),"")</f>
        <v/>
      </c>
      <c r="O97" s="15" t="str">
        <f aca="false">IFERROR(IF($C97="Pinus sylvestris",IF(OR($D97="",$H97="",$I97="",$J97=""),"",1.3+EXP((AB97+AC97*$H97)*EXP(-(AD97+AE97*$I97)*$D97^(-(AF97+AG97*$J97))))),IF($C97="Pinus nigra",IF(OR($D97="",$H97="",$L97="",$I97=""),"",1.3+EXP((AB97+AC97*$H97)*EXP(-(AD97+AE97*$L97)*$D97^(-(AF97+AG97*$I97))))),IF($C97="Pinus pinaster",IF(OR($D97="",$I97="",$K97=""),"",(AB97+AC97*$I97)/(1+(AD97+AE97*$K97)*EXP(-(AF97+AG97*$I97)*$D97))),IF($C97="Quercus pyrenaica",IF(OR($D97="",$L97="",$J97="",$I97=""),"",(AB97+AC97*$L97)*EXP((AD97+AE97*$J97)*EXP(-(AF97+AG97*$I97)*$D97))),"")))),"")</f>
        <v/>
      </c>
      <c r="P97" s="15" t="str">
        <f aca="false">IFERROR(IF(OR($C97="",$D97="",$E97="",$G97=""),"",1.3+(AH97+AI97*$E97-AJ97*$G97)*EXP(-AK97/SQRT($D97))),"")</f>
        <v/>
      </c>
      <c r="Q97" s="15" t="str">
        <f aca="false">IFERROR(IF(OR($C97="",$D97=""),"",1.3+AL97*(LN(1+$D97))^AM97),"")</f>
        <v/>
      </c>
      <c r="S97" s="1" t="str">
        <f aca="false">IF($C97="","",VLOOKUP($C97,coefs!$A:$V,2,FALSE()))</f>
        <v/>
      </c>
      <c r="T97" s="1" t="str">
        <f aca="false">IF($C97="","",VLOOKUP($C97,coefs!$A:$V,3,FALSE()))</f>
        <v/>
      </c>
      <c r="U97" s="1" t="str">
        <f aca="false">IF($C97="","",VLOOKUP($C97,coefs!$A:$V,4,FALSE()))</f>
        <v/>
      </c>
      <c r="V97" s="1" t="str">
        <f aca="false">IF($C97="","",VLOOKUP($C97,coefs!$A:$V,5,FALSE()))</f>
        <v/>
      </c>
      <c r="W97" s="1" t="str">
        <f aca="false">IF($C97="","",VLOOKUP($C97,coefs!$A:$V,6,FALSE()))</f>
        <v/>
      </c>
      <c r="X97" s="1" t="str">
        <f aca="false">IF($C97="","",VLOOKUP($C97,coefs!$A:$V,7,FALSE()))</f>
        <v/>
      </c>
      <c r="Y97" s="1" t="str">
        <f aca="false">IF($C97="","",VLOOKUP($C97,coefs!$A:$V,8,FALSE()))</f>
        <v/>
      </c>
      <c r="Z97" s="1" t="str">
        <f aca="false">IF($C97="","",VLOOKUP($C97,coefs!$A:$V,9,FALSE()))</f>
        <v/>
      </c>
      <c r="AA97" s="1" t="str">
        <f aca="false">IF($C97="","",VLOOKUP($C97,coefs!$A:$V,10,FALSE()))</f>
        <v/>
      </c>
      <c r="AB97" s="1" t="str">
        <f aca="false">IF($C97="","",VLOOKUP($C97,coefs!$A:$V,11,FALSE()))</f>
        <v/>
      </c>
      <c r="AC97" s="1" t="str">
        <f aca="false">IF($C97="","",VLOOKUP($C97,coefs!$A:$V,12,FALSE()))</f>
        <v/>
      </c>
      <c r="AD97" s="1" t="str">
        <f aca="false">IF($C97="","",VLOOKUP($C97,coefs!$A:$V,13,FALSE()))</f>
        <v/>
      </c>
      <c r="AE97" s="1" t="str">
        <f aca="false">IF($C97="","",VLOOKUP($C97,coefs!$A:$V,14,FALSE()))</f>
        <v/>
      </c>
      <c r="AF97" s="1" t="str">
        <f aca="false">IF($C97="","",VLOOKUP($C97,coefs!$A:$V,15,FALSE()))</f>
        <v/>
      </c>
      <c r="AG97" s="1" t="str">
        <f aca="false">IF($C97="","",VLOOKUP($C97,coefs!$A:$V,16,FALSE()))</f>
        <v/>
      </c>
      <c r="AH97" s="1" t="str">
        <f aca="false">IF($C97="","",VLOOKUP($C97,coefs!$A:$V,17,FALSE()))</f>
        <v/>
      </c>
      <c r="AI97" s="1" t="str">
        <f aca="false">IF($C97="","",VLOOKUP($C97,coefs!$A:$V,18,FALSE()))</f>
        <v/>
      </c>
      <c r="AJ97" s="1" t="str">
        <f aca="false">IF($C97="","",VLOOKUP($C97,coefs!$A:$V,19,FALSE()))</f>
        <v/>
      </c>
      <c r="AK97" s="1" t="str">
        <f aca="false">IF($C97="","",VLOOKUP($C97,coefs!$A:$V,20,FALSE()))</f>
        <v/>
      </c>
      <c r="AL97" s="1" t="str">
        <f aca="false">IF($C97="","",VLOOKUP($C97,coefs!$A:$V,21,FALSE()))</f>
        <v/>
      </c>
      <c r="AM97" s="1" t="str">
        <f aca="false">IF($C97="","",VLOOKUP($C97,coefs!$A:$V,22,FALSE()))</f>
        <v/>
      </c>
    </row>
    <row r="98" customFormat="false" ht="15" hidden="false" customHeight="true" outlineLevel="0" collapsed="false">
      <c r="A98" s="14"/>
      <c r="B98" s="14"/>
      <c r="C98" s="14"/>
      <c r="D98" s="15"/>
      <c r="E98" s="16"/>
      <c r="F98" s="16"/>
      <c r="G98" s="16"/>
      <c r="H98" s="17"/>
      <c r="I98" s="16"/>
      <c r="J98" s="16"/>
      <c r="K98" s="17"/>
      <c r="L98" s="17"/>
      <c r="M98" s="15" t="str">
        <f aca="false">IFERROR(IF(OR($C98="",$D98=""),"",IF($C98="Pinus pinaster",S98/(1+T98*EXP(-U98*$D98)),IF($C98="Quercus pyrenaica",S98*EXP(T98*EXP(-U98*$D98)),1.3+EXP(S98*EXP(-T98*$D98^(-U98)))))),"")</f>
        <v/>
      </c>
      <c r="N98" s="15" t="str">
        <f aca="false">IFERROR(IF($C98="Pinus sylvestris",IF(OR($D98="",$E98="",$F98=""),"",1.3+EXP((V98+W98*$E98)*EXP(-(X98+Y98*$F98)*$D98^(-(Z98+AA98*$E98))))),IF($C98="Pinus nigra",IF(OR($D98="",$E98="",$F98="",$J98=""),"",1.3+EXP((V98+W98*$J98)*EXP(-(X98+Y98*$F98)*$D98^(-(Z98+AA98*$E98))))),IF($C98="Pinus pinaster",IF(OR($D98="",$E98="",$H98="",$F98=""),"",(V98+W98*$E98)/(1+(X98+Y98*$H98)*EXP(-(Z98+AA98*$F98)*$D98))),IF($C98="Quercus pyrenaica",IF(OR($D98="",$E98="",$G98="",$J98=""),"",(V98+W98*$E98)*EXP((X98+Y98*$G98)*EXP(-(Z98+AA98*$J98)*$D98))),"")))),"")</f>
        <v/>
      </c>
      <c r="O98" s="15" t="str">
        <f aca="false">IFERROR(IF($C98="Pinus sylvestris",IF(OR($D98="",$H98="",$I98="",$J98=""),"",1.3+EXP((AB98+AC98*$H98)*EXP(-(AD98+AE98*$I98)*$D98^(-(AF98+AG98*$J98))))),IF($C98="Pinus nigra",IF(OR($D98="",$H98="",$L98="",$I98=""),"",1.3+EXP((AB98+AC98*$H98)*EXP(-(AD98+AE98*$L98)*$D98^(-(AF98+AG98*$I98))))),IF($C98="Pinus pinaster",IF(OR($D98="",$I98="",$K98=""),"",(AB98+AC98*$I98)/(1+(AD98+AE98*$K98)*EXP(-(AF98+AG98*$I98)*$D98))),IF($C98="Quercus pyrenaica",IF(OR($D98="",$L98="",$J98="",$I98=""),"",(AB98+AC98*$L98)*EXP((AD98+AE98*$J98)*EXP(-(AF98+AG98*$I98)*$D98))),"")))),"")</f>
        <v/>
      </c>
      <c r="P98" s="15" t="str">
        <f aca="false">IFERROR(IF(OR($C98="",$D98="",$E98="",$G98=""),"",1.3+(AH98+AI98*$E98-AJ98*$G98)*EXP(-AK98/SQRT($D98))),"")</f>
        <v/>
      </c>
      <c r="Q98" s="15" t="str">
        <f aca="false">IFERROR(IF(OR($C98="",$D98=""),"",1.3+AL98*(LN(1+$D98))^AM98),"")</f>
        <v/>
      </c>
      <c r="S98" s="1" t="str">
        <f aca="false">IF($C98="","",VLOOKUP($C98,coefs!$A:$V,2,FALSE()))</f>
        <v/>
      </c>
      <c r="T98" s="1" t="str">
        <f aca="false">IF($C98="","",VLOOKUP($C98,coefs!$A:$V,3,FALSE()))</f>
        <v/>
      </c>
      <c r="U98" s="1" t="str">
        <f aca="false">IF($C98="","",VLOOKUP($C98,coefs!$A:$V,4,FALSE()))</f>
        <v/>
      </c>
      <c r="V98" s="1" t="str">
        <f aca="false">IF($C98="","",VLOOKUP($C98,coefs!$A:$V,5,FALSE()))</f>
        <v/>
      </c>
      <c r="W98" s="1" t="str">
        <f aca="false">IF($C98="","",VLOOKUP($C98,coefs!$A:$V,6,FALSE()))</f>
        <v/>
      </c>
      <c r="X98" s="1" t="str">
        <f aca="false">IF($C98="","",VLOOKUP($C98,coefs!$A:$V,7,FALSE()))</f>
        <v/>
      </c>
      <c r="Y98" s="1" t="str">
        <f aca="false">IF($C98="","",VLOOKUP($C98,coefs!$A:$V,8,FALSE()))</f>
        <v/>
      </c>
      <c r="Z98" s="1" t="str">
        <f aca="false">IF($C98="","",VLOOKUP($C98,coefs!$A:$V,9,FALSE()))</f>
        <v/>
      </c>
      <c r="AA98" s="1" t="str">
        <f aca="false">IF($C98="","",VLOOKUP($C98,coefs!$A:$V,10,FALSE()))</f>
        <v/>
      </c>
      <c r="AB98" s="1" t="str">
        <f aca="false">IF($C98="","",VLOOKUP($C98,coefs!$A:$V,11,FALSE()))</f>
        <v/>
      </c>
      <c r="AC98" s="1" t="str">
        <f aca="false">IF($C98="","",VLOOKUP($C98,coefs!$A:$V,12,FALSE()))</f>
        <v/>
      </c>
      <c r="AD98" s="1" t="str">
        <f aca="false">IF($C98="","",VLOOKUP($C98,coefs!$A:$V,13,FALSE()))</f>
        <v/>
      </c>
      <c r="AE98" s="1" t="str">
        <f aca="false">IF($C98="","",VLOOKUP($C98,coefs!$A:$V,14,FALSE()))</f>
        <v/>
      </c>
      <c r="AF98" s="1" t="str">
        <f aca="false">IF($C98="","",VLOOKUP($C98,coefs!$A:$V,15,FALSE()))</f>
        <v/>
      </c>
      <c r="AG98" s="1" t="str">
        <f aca="false">IF($C98="","",VLOOKUP($C98,coefs!$A:$V,16,FALSE()))</f>
        <v/>
      </c>
      <c r="AH98" s="1" t="str">
        <f aca="false">IF($C98="","",VLOOKUP($C98,coefs!$A:$V,17,FALSE()))</f>
        <v/>
      </c>
      <c r="AI98" s="1" t="str">
        <f aca="false">IF($C98="","",VLOOKUP($C98,coefs!$A:$V,18,FALSE()))</f>
        <v/>
      </c>
      <c r="AJ98" s="1" t="str">
        <f aca="false">IF($C98="","",VLOOKUP($C98,coefs!$A:$V,19,FALSE()))</f>
        <v/>
      </c>
      <c r="AK98" s="1" t="str">
        <f aca="false">IF($C98="","",VLOOKUP($C98,coefs!$A:$V,20,FALSE()))</f>
        <v/>
      </c>
      <c r="AL98" s="1" t="str">
        <f aca="false">IF($C98="","",VLOOKUP($C98,coefs!$A:$V,21,FALSE()))</f>
        <v/>
      </c>
      <c r="AM98" s="1" t="str">
        <f aca="false">IF($C98="","",VLOOKUP($C98,coefs!$A:$V,22,FALSE()))</f>
        <v/>
      </c>
    </row>
    <row r="99" customFormat="false" ht="15" hidden="false" customHeight="true" outlineLevel="0" collapsed="false">
      <c r="A99" s="14"/>
      <c r="B99" s="14"/>
      <c r="C99" s="14"/>
      <c r="D99" s="15"/>
      <c r="E99" s="16"/>
      <c r="F99" s="16"/>
      <c r="G99" s="16"/>
      <c r="H99" s="17"/>
      <c r="I99" s="16"/>
      <c r="J99" s="16"/>
      <c r="K99" s="17"/>
      <c r="L99" s="17"/>
      <c r="M99" s="15" t="str">
        <f aca="false">IFERROR(IF(OR($C99="",$D99=""),"",IF($C99="Pinus pinaster",S99/(1+T99*EXP(-U99*$D99)),IF($C99="Quercus pyrenaica",S99*EXP(T99*EXP(-U99*$D99)),1.3+EXP(S99*EXP(-T99*$D99^(-U99)))))),"")</f>
        <v/>
      </c>
      <c r="N99" s="15" t="str">
        <f aca="false">IFERROR(IF($C99="Pinus sylvestris",IF(OR($D99="",$E99="",$F99=""),"",1.3+EXP((V99+W99*$E99)*EXP(-(X99+Y99*$F99)*$D99^(-(Z99+AA99*$E99))))),IF($C99="Pinus nigra",IF(OR($D99="",$E99="",$F99="",$J99=""),"",1.3+EXP((V99+W99*$J99)*EXP(-(X99+Y99*$F99)*$D99^(-(Z99+AA99*$E99))))),IF($C99="Pinus pinaster",IF(OR($D99="",$E99="",$H99="",$F99=""),"",(V99+W99*$E99)/(1+(X99+Y99*$H99)*EXP(-(Z99+AA99*$F99)*$D99))),IF($C99="Quercus pyrenaica",IF(OR($D99="",$E99="",$G99="",$J99=""),"",(V99+W99*$E99)*EXP((X99+Y99*$G99)*EXP(-(Z99+AA99*$J99)*$D99))),"")))),"")</f>
        <v/>
      </c>
      <c r="O99" s="15" t="str">
        <f aca="false">IFERROR(IF($C99="Pinus sylvestris",IF(OR($D99="",$H99="",$I99="",$J99=""),"",1.3+EXP((AB99+AC99*$H99)*EXP(-(AD99+AE99*$I99)*$D99^(-(AF99+AG99*$J99))))),IF($C99="Pinus nigra",IF(OR($D99="",$H99="",$L99="",$I99=""),"",1.3+EXP((AB99+AC99*$H99)*EXP(-(AD99+AE99*$L99)*$D99^(-(AF99+AG99*$I99))))),IF($C99="Pinus pinaster",IF(OR($D99="",$I99="",$K99=""),"",(AB99+AC99*$I99)/(1+(AD99+AE99*$K99)*EXP(-(AF99+AG99*$I99)*$D99))),IF($C99="Quercus pyrenaica",IF(OR($D99="",$L99="",$J99="",$I99=""),"",(AB99+AC99*$L99)*EXP((AD99+AE99*$J99)*EXP(-(AF99+AG99*$I99)*$D99))),"")))),"")</f>
        <v/>
      </c>
      <c r="P99" s="15" t="str">
        <f aca="false">IFERROR(IF(OR($C99="",$D99="",$E99="",$G99=""),"",1.3+(AH99+AI99*$E99-AJ99*$G99)*EXP(-AK99/SQRT($D99))),"")</f>
        <v/>
      </c>
      <c r="Q99" s="15" t="str">
        <f aca="false">IFERROR(IF(OR($C99="",$D99=""),"",1.3+AL99*(LN(1+$D99))^AM99),"")</f>
        <v/>
      </c>
      <c r="S99" s="1" t="str">
        <f aca="false">IF($C99="","",VLOOKUP($C99,coefs!$A:$V,2,FALSE()))</f>
        <v/>
      </c>
      <c r="T99" s="1" t="str">
        <f aca="false">IF($C99="","",VLOOKUP($C99,coefs!$A:$V,3,FALSE()))</f>
        <v/>
      </c>
      <c r="U99" s="1" t="str">
        <f aca="false">IF($C99="","",VLOOKUP($C99,coefs!$A:$V,4,FALSE()))</f>
        <v/>
      </c>
      <c r="V99" s="1" t="str">
        <f aca="false">IF($C99="","",VLOOKUP($C99,coefs!$A:$V,5,FALSE()))</f>
        <v/>
      </c>
      <c r="W99" s="1" t="str">
        <f aca="false">IF($C99="","",VLOOKUP($C99,coefs!$A:$V,6,FALSE()))</f>
        <v/>
      </c>
      <c r="X99" s="1" t="str">
        <f aca="false">IF($C99="","",VLOOKUP($C99,coefs!$A:$V,7,FALSE()))</f>
        <v/>
      </c>
      <c r="Y99" s="1" t="str">
        <f aca="false">IF($C99="","",VLOOKUP($C99,coefs!$A:$V,8,FALSE()))</f>
        <v/>
      </c>
      <c r="Z99" s="1" t="str">
        <f aca="false">IF($C99="","",VLOOKUP($C99,coefs!$A:$V,9,FALSE()))</f>
        <v/>
      </c>
      <c r="AA99" s="1" t="str">
        <f aca="false">IF($C99="","",VLOOKUP($C99,coefs!$A:$V,10,FALSE()))</f>
        <v/>
      </c>
      <c r="AB99" s="1" t="str">
        <f aca="false">IF($C99="","",VLOOKUP($C99,coefs!$A:$V,11,FALSE()))</f>
        <v/>
      </c>
      <c r="AC99" s="1" t="str">
        <f aca="false">IF($C99="","",VLOOKUP($C99,coefs!$A:$V,12,FALSE()))</f>
        <v/>
      </c>
      <c r="AD99" s="1" t="str">
        <f aca="false">IF($C99="","",VLOOKUP($C99,coefs!$A:$V,13,FALSE()))</f>
        <v/>
      </c>
      <c r="AE99" s="1" t="str">
        <f aca="false">IF($C99="","",VLOOKUP($C99,coefs!$A:$V,14,FALSE()))</f>
        <v/>
      </c>
      <c r="AF99" s="1" t="str">
        <f aca="false">IF($C99="","",VLOOKUP($C99,coefs!$A:$V,15,FALSE()))</f>
        <v/>
      </c>
      <c r="AG99" s="1" t="str">
        <f aca="false">IF($C99="","",VLOOKUP($C99,coefs!$A:$V,16,FALSE()))</f>
        <v/>
      </c>
      <c r="AH99" s="1" t="str">
        <f aca="false">IF($C99="","",VLOOKUP($C99,coefs!$A:$V,17,FALSE()))</f>
        <v/>
      </c>
      <c r="AI99" s="1" t="str">
        <f aca="false">IF($C99="","",VLOOKUP($C99,coefs!$A:$V,18,FALSE()))</f>
        <v/>
      </c>
      <c r="AJ99" s="1" t="str">
        <f aca="false">IF($C99="","",VLOOKUP($C99,coefs!$A:$V,19,FALSE()))</f>
        <v/>
      </c>
      <c r="AK99" s="1" t="str">
        <f aca="false">IF($C99="","",VLOOKUP($C99,coefs!$A:$V,20,FALSE()))</f>
        <v/>
      </c>
      <c r="AL99" s="1" t="str">
        <f aca="false">IF($C99="","",VLOOKUP($C99,coefs!$A:$V,21,FALSE()))</f>
        <v/>
      </c>
      <c r="AM99" s="1" t="str">
        <f aca="false">IF($C99="","",VLOOKUP($C99,coefs!$A:$V,22,FALSE()))</f>
        <v/>
      </c>
    </row>
    <row r="100" customFormat="false" ht="15" hidden="false" customHeight="true" outlineLevel="0" collapsed="false">
      <c r="A100" s="14"/>
      <c r="B100" s="14"/>
      <c r="C100" s="14"/>
      <c r="D100" s="15"/>
      <c r="E100" s="16"/>
      <c r="F100" s="16"/>
      <c r="G100" s="16"/>
      <c r="H100" s="17"/>
      <c r="I100" s="16"/>
      <c r="J100" s="16"/>
      <c r="K100" s="17"/>
      <c r="L100" s="17"/>
      <c r="M100" s="15" t="str">
        <f aca="false">IFERROR(IF(OR($C100="",$D100=""),"",IF($C100="Pinus pinaster",S100/(1+T100*EXP(-U100*$D100)),IF($C100="Quercus pyrenaica",S100*EXP(T100*EXP(-U100*$D100)),1.3+EXP(S100*EXP(-T100*$D100^(-U100)))))),"")</f>
        <v/>
      </c>
      <c r="N100" s="15" t="str">
        <f aca="false">IFERROR(IF($C100="Pinus sylvestris",IF(OR($D100="",$E100="",$F100=""),"",1.3+EXP((V100+W100*$E100)*EXP(-(X100+Y100*$F100)*$D100^(-(Z100+AA100*$E100))))),IF($C100="Pinus nigra",IF(OR($D100="",$E100="",$F100="",$J100=""),"",1.3+EXP((V100+W100*$J100)*EXP(-(X100+Y100*$F100)*$D100^(-(Z100+AA100*$E100))))),IF($C100="Pinus pinaster",IF(OR($D100="",$E100="",$H100="",$F100=""),"",(V100+W100*$E100)/(1+(X100+Y100*$H100)*EXP(-(Z100+AA100*$F100)*$D100))),IF($C100="Quercus pyrenaica",IF(OR($D100="",$E100="",$G100="",$J100=""),"",(V100+W100*$E100)*EXP((X100+Y100*$G100)*EXP(-(Z100+AA100*$J100)*$D100))),"")))),"")</f>
        <v/>
      </c>
      <c r="O100" s="15" t="str">
        <f aca="false">IFERROR(IF($C100="Pinus sylvestris",IF(OR($D100="",$H100="",$I100="",$J100=""),"",1.3+EXP((AB100+AC100*$H100)*EXP(-(AD100+AE100*$I100)*$D100^(-(AF100+AG100*$J100))))),IF($C100="Pinus nigra",IF(OR($D100="",$H100="",$L100="",$I100=""),"",1.3+EXP((AB100+AC100*$H100)*EXP(-(AD100+AE100*$L100)*$D100^(-(AF100+AG100*$I100))))),IF($C100="Pinus pinaster",IF(OR($D100="",$I100="",$K100=""),"",(AB100+AC100*$I100)/(1+(AD100+AE100*$K100)*EXP(-(AF100+AG100*$I100)*$D100))),IF($C100="Quercus pyrenaica",IF(OR($D100="",$L100="",$J100="",$I100=""),"",(AB100+AC100*$L100)*EXP((AD100+AE100*$J100)*EXP(-(AF100+AG100*$I100)*$D100))),"")))),"")</f>
        <v/>
      </c>
      <c r="P100" s="15" t="str">
        <f aca="false">IFERROR(IF(OR($C100="",$D100="",$E100="",$G100=""),"",1.3+(AH100+AI100*$E100-AJ100*$G100)*EXP(-AK100/SQRT($D100))),"")</f>
        <v/>
      </c>
      <c r="Q100" s="15" t="str">
        <f aca="false">IFERROR(IF(OR($C100="",$D100=""),"",1.3+AL100*(LN(1+$D100))^AM100),"")</f>
        <v/>
      </c>
      <c r="S100" s="1" t="str">
        <f aca="false">IF($C100="","",VLOOKUP($C100,coefs!$A:$V,2,FALSE()))</f>
        <v/>
      </c>
      <c r="T100" s="1" t="str">
        <f aca="false">IF($C100="","",VLOOKUP($C100,coefs!$A:$V,3,FALSE()))</f>
        <v/>
      </c>
      <c r="U100" s="1" t="str">
        <f aca="false">IF($C100="","",VLOOKUP($C100,coefs!$A:$V,4,FALSE()))</f>
        <v/>
      </c>
      <c r="V100" s="1" t="str">
        <f aca="false">IF($C100="","",VLOOKUP($C100,coefs!$A:$V,5,FALSE()))</f>
        <v/>
      </c>
      <c r="W100" s="1" t="str">
        <f aca="false">IF($C100="","",VLOOKUP($C100,coefs!$A:$V,6,FALSE()))</f>
        <v/>
      </c>
      <c r="X100" s="1" t="str">
        <f aca="false">IF($C100="","",VLOOKUP($C100,coefs!$A:$V,7,FALSE()))</f>
        <v/>
      </c>
      <c r="Y100" s="1" t="str">
        <f aca="false">IF($C100="","",VLOOKUP($C100,coefs!$A:$V,8,FALSE()))</f>
        <v/>
      </c>
      <c r="Z100" s="1" t="str">
        <f aca="false">IF($C100="","",VLOOKUP($C100,coefs!$A:$V,9,FALSE()))</f>
        <v/>
      </c>
      <c r="AA100" s="1" t="str">
        <f aca="false">IF($C100="","",VLOOKUP($C100,coefs!$A:$V,10,FALSE()))</f>
        <v/>
      </c>
      <c r="AB100" s="1" t="str">
        <f aca="false">IF($C100="","",VLOOKUP($C100,coefs!$A:$V,11,FALSE()))</f>
        <v/>
      </c>
      <c r="AC100" s="1" t="str">
        <f aca="false">IF($C100="","",VLOOKUP($C100,coefs!$A:$V,12,FALSE()))</f>
        <v/>
      </c>
      <c r="AD100" s="1" t="str">
        <f aca="false">IF($C100="","",VLOOKUP($C100,coefs!$A:$V,13,FALSE()))</f>
        <v/>
      </c>
      <c r="AE100" s="1" t="str">
        <f aca="false">IF($C100="","",VLOOKUP($C100,coefs!$A:$V,14,FALSE()))</f>
        <v/>
      </c>
      <c r="AF100" s="1" t="str">
        <f aca="false">IF($C100="","",VLOOKUP($C100,coefs!$A:$V,15,FALSE()))</f>
        <v/>
      </c>
      <c r="AG100" s="1" t="str">
        <f aca="false">IF($C100="","",VLOOKUP($C100,coefs!$A:$V,16,FALSE()))</f>
        <v/>
      </c>
      <c r="AH100" s="1" t="str">
        <f aca="false">IF($C100="","",VLOOKUP($C100,coefs!$A:$V,17,FALSE()))</f>
        <v/>
      </c>
      <c r="AI100" s="1" t="str">
        <f aca="false">IF($C100="","",VLOOKUP($C100,coefs!$A:$V,18,FALSE()))</f>
        <v/>
      </c>
      <c r="AJ100" s="1" t="str">
        <f aca="false">IF($C100="","",VLOOKUP($C100,coefs!$A:$V,19,FALSE()))</f>
        <v/>
      </c>
      <c r="AK100" s="1" t="str">
        <f aca="false">IF($C100="","",VLOOKUP($C100,coefs!$A:$V,20,FALSE()))</f>
        <v/>
      </c>
      <c r="AL100" s="1" t="str">
        <f aca="false">IF($C100="","",VLOOKUP($C100,coefs!$A:$V,21,FALSE()))</f>
        <v/>
      </c>
      <c r="AM100" s="1" t="str">
        <f aca="false">IF($C100="","",VLOOKUP($C100,coefs!$A:$V,22,FALSE()))</f>
        <v/>
      </c>
    </row>
    <row r="101" customFormat="false" ht="15" hidden="false" customHeight="true" outlineLevel="0" collapsed="false">
      <c r="A101" s="14"/>
      <c r="B101" s="14"/>
      <c r="C101" s="14"/>
      <c r="D101" s="15"/>
      <c r="E101" s="16"/>
      <c r="F101" s="16"/>
      <c r="G101" s="16"/>
      <c r="H101" s="17"/>
      <c r="I101" s="16"/>
      <c r="J101" s="16"/>
      <c r="K101" s="17"/>
      <c r="L101" s="17"/>
      <c r="M101" s="15" t="str">
        <f aca="false">IFERROR(IF(OR($C101="",$D101=""),"",IF($C101="Pinus pinaster",S101/(1+T101*EXP(-U101*$D101)),IF($C101="Quercus pyrenaica",S101*EXP(T101*EXP(-U101*$D101)),1.3+EXP(S101*EXP(-T101*$D101^(-U101)))))),"")</f>
        <v/>
      </c>
      <c r="N101" s="15" t="str">
        <f aca="false">IFERROR(IF($C101="Pinus sylvestris",IF(OR($D101="",$E101="",$F101=""),"",1.3+EXP((V101+W101*$E101)*EXP(-(X101+Y101*$F101)*$D101^(-(Z101+AA101*$E101))))),IF($C101="Pinus nigra",IF(OR($D101="",$E101="",$F101="",$J101=""),"",1.3+EXP((V101+W101*$J101)*EXP(-(X101+Y101*$F101)*$D101^(-(Z101+AA101*$E101))))),IF($C101="Pinus pinaster",IF(OR($D101="",$E101="",$H101="",$F101=""),"",(V101+W101*$E101)/(1+(X101+Y101*$H101)*EXP(-(Z101+AA101*$F101)*$D101))),IF($C101="Quercus pyrenaica",IF(OR($D101="",$E101="",$G101="",$J101=""),"",(V101+W101*$E101)*EXP((X101+Y101*$G101)*EXP(-(Z101+AA101*$J101)*$D101))),"")))),"")</f>
        <v/>
      </c>
      <c r="O101" s="15" t="str">
        <f aca="false">IFERROR(IF($C101="Pinus sylvestris",IF(OR($D101="",$H101="",$I101="",$J101=""),"",1.3+EXP((AB101+AC101*$H101)*EXP(-(AD101+AE101*$I101)*$D101^(-(AF101+AG101*$J101))))),IF($C101="Pinus nigra",IF(OR($D101="",$H101="",$L101="",$I101=""),"",1.3+EXP((AB101+AC101*$H101)*EXP(-(AD101+AE101*$L101)*$D101^(-(AF101+AG101*$I101))))),IF($C101="Pinus pinaster",IF(OR($D101="",$I101="",$K101=""),"",(AB101+AC101*$I101)/(1+(AD101+AE101*$K101)*EXP(-(AF101+AG101*$I101)*$D101))),IF($C101="Quercus pyrenaica",IF(OR($D101="",$L101="",$J101="",$I101=""),"",(AB101+AC101*$L101)*EXP((AD101+AE101*$J101)*EXP(-(AF101+AG101*$I101)*$D101))),"")))),"")</f>
        <v/>
      </c>
      <c r="P101" s="15" t="str">
        <f aca="false">IFERROR(IF(OR($C101="",$D101="",$E101="",$G101=""),"",1.3+(AH101+AI101*$E101-AJ101*$G101)*EXP(-AK101/SQRT($D101))),"")</f>
        <v/>
      </c>
      <c r="Q101" s="15" t="str">
        <f aca="false">IFERROR(IF(OR($C101="",$D101=""),"",1.3+AL101*(LN(1+$D101))^AM101),"")</f>
        <v/>
      </c>
      <c r="S101" s="1" t="str">
        <f aca="false">IF($C101="","",VLOOKUP($C101,coefs!$A:$V,2,FALSE()))</f>
        <v/>
      </c>
      <c r="T101" s="1" t="str">
        <f aca="false">IF($C101="","",VLOOKUP($C101,coefs!$A:$V,3,FALSE()))</f>
        <v/>
      </c>
      <c r="U101" s="1" t="str">
        <f aca="false">IF($C101="","",VLOOKUP($C101,coefs!$A:$V,4,FALSE()))</f>
        <v/>
      </c>
      <c r="V101" s="1" t="str">
        <f aca="false">IF($C101="","",VLOOKUP($C101,coefs!$A:$V,5,FALSE()))</f>
        <v/>
      </c>
      <c r="W101" s="1" t="str">
        <f aca="false">IF($C101="","",VLOOKUP($C101,coefs!$A:$V,6,FALSE()))</f>
        <v/>
      </c>
      <c r="X101" s="1" t="str">
        <f aca="false">IF($C101="","",VLOOKUP($C101,coefs!$A:$V,7,FALSE()))</f>
        <v/>
      </c>
      <c r="Y101" s="1" t="str">
        <f aca="false">IF($C101="","",VLOOKUP($C101,coefs!$A:$V,8,FALSE()))</f>
        <v/>
      </c>
      <c r="Z101" s="1" t="str">
        <f aca="false">IF($C101="","",VLOOKUP($C101,coefs!$A:$V,9,FALSE()))</f>
        <v/>
      </c>
      <c r="AA101" s="1" t="str">
        <f aca="false">IF($C101="","",VLOOKUP($C101,coefs!$A:$V,10,FALSE()))</f>
        <v/>
      </c>
      <c r="AB101" s="1" t="str">
        <f aca="false">IF($C101="","",VLOOKUP($C101,coefs!$A:$V,11,FALSE()))</f>
        <v/>
      </c>
      <c r="AC101" s="1" t="str">
        <f aca="false">IF($C101="","",VLOOKUP($C101,coefs!$A:$V,12,FALSE()))</f>
        <v/>
      </c>
      <c r="AD101" s="1" t="str">
        <f aca="false">IF($C101="","",VLOOKUP($C101,coefs!$A:$V,13,FALSE()))</f>
        <v/>
      </c>
      <c r="AE101" s="1" t="str">
        <f aca="false">IF($C101="","",VLOOKUP($C101,coefs!$A:$V,14,FALSE()))</f>
        <v/>
      </c>
      <c r="AF101" s="1" t="str">
        <f aca="false">IF($C101="","",VLOOKUP($C101,coefs!$A:$V,15,FALSE()))</f>
        <v/>
      </c>
      <c r="AG101" s="1" t="str">
        <f aca="false">IF($C101="","",VLOOKUP($C101,coefs!$A:$V,16,FALSE()))</f>
        <v/>
      </c>
      <c r="AH101" s="1" t="str">
        <f aca="false">IF($C101="","",VLOOKUP($C101,coefs!$A:$V,17,FALSE()))</f>
        <v/>
      </c>
      <c r="AI101" s="1" t="str">
        <f aca="false">IF($C101="","",VLOOKUP($C101,coefs!$A:$V,18,FALSE()))</f>
        <v/>
      </c>
      <c r="AJ101" s="1" t="str">
        <f aca="false">IF($C101="","",VLOOKUP($C101,coefs!$A:$V,19,FALSE()))</f>
        <v/>
      </c>
      <c r="AK101" s="1" t="str">
        <f aca="false">IF($C101="","",VLOOKUP($C101,coefs!$A:$V,20,FALSE()))</f>
        <v/>
      </c>
      <c r="AL101" s="1" t="str">
        <f aca="false">IF($C101="","",VLOOKUP($C101,coefs!$A:$V,21,FALSE()))</f>
        <v/>
      </c>
      <c r="AM101" s="1" t="str">
        <f aca="false">IF($C101="","",VLOOKUP($C101,coefs!$A:$V,22,FALSE()))</f>
        <v/>
      </c>
    </row>
    <row r="102" customFormat="false" ht="15" hidden="false" customHeight="true" outlineLevel="0" collapsed="false">
      <c r="A102" s="14"/>
      <c r="B102" s="14"/>
      <c r="C102" s="14"/>
      <c r="D102" s="15"/>
      <c r="E102" s="16"/>
      <c r="F102" s="16"/>
      <c r="G102" s="16"/>
      <c r="H102" s="17"/>
      <c r="I102" s="16"/>
      <c r="J102" s="16"/>
      <c r="K102" s="17"/>
      <c r="L102" s="17"/>
      <c r="M102" s="15" t="str">
        <f aca="false">IFERROR(IF(OR($C102="",$D102=""),"",IF($C102="Pinus pinaster",S102/(1+T102*EXP(-U102*$D102)),IF($C102="Quercus pyrenaica",S102*EXP(T102*EXP(-U102*$D102)),1.3+EXP(S102*EXP(-T102*$D102^(-U102)))))),"")</f>
        <v/>
      </c>
      <c r="N102" s="15" t="str">
        <f aca="false">IFERROR(IF($C102="Pinus sylvestris",IF(OR($D102="",$E102="",$F102=""),"",1.3+EXP((V102+W102*$E102)*EXP(-(X102+Y102*$F102)*$D102^(-(Z102+AA102*$E102))))),IF($C102="Pinus nigra",IF(OR($D102="",$E102="",$F102="",$J102=""),"",1.3+EXP((V102+W102*$J102)*EXP(-(X102+Y102*$F102)*$D102^(-(Z102+AA102*$E102))))),IF($C102="Pinus pinaster",IF(OR($D102="",$E102="",$H102="",$F102=""),"",(V102+W102*$E102)/(1+(X102+Y102*$H102)*EXP(-(Z102+AA102*$F102)*$D102))),IF($C102="Quercus pyrenaica",IF(OR($D102="",$E102="",$G102="",$J102=""),"",(V102+W102*$E102)*EXP((X102+Y102*$G102)*EXP(-(Z102+AA102*$J102)*$D102))),"")))),"")</f>
        <v/>
      </c>
      <c r="O102" s="15" t="str">
        <f aca="false">IFERROR(IF($C102="Pinus sylvestris",IF(OR($D102="",$H102="",$I102="",$J102=""),"",1.3+EXP((AB102+AC102*$H102)*EXP(-(AD102+AE102*$I102)*$D102^(-(AF102+AG102*$J102))))),IF($C102="Pinus nigra",IF(OR($D102="",$H102="",$L102="",$I102=""),"",1.3+EXP((AB102+AC102*$H102)*EXP(-(AD102+AE102*$L102)*$D102^(-(AF102+AG102*$I102))))),IF($C102="Pinus pinaster",IF(OR($D102="",$I102="",$K102=""),"",(AB102+AC102*$I102)/(1+(AD102+AE102*$K102)*EXP(-(AF102+AG102*$I102)*$D102))),IF($C102="Quercus pyrenaica",IF(OR($D102="",$L102="",$J102="",$I102=""),"",(AB102+AC102*$L102)*EXP((AD102+AE102*$J102)*EXP(-(AF102+AG102*$I102)*$D102))),"")))),"")</f>
        <v/>
      </c>
      <c r="P102" s="15" t="str">
        <f aca="false">IFERROR(IF(OR($C102="",$D102="",$E102="",$G102=""),"",1.3+(AH102+AI102*$E102-AJ102*$G102)*EXP(-AK102/SQRT($D102))),"")</f>
        <v/>
      </c>
      <c r="Q102" s="15" t="str">
        <f aca="false">IFERROR(IF(OR($C102="",$D102=""),"",1.3+AL102*(LN(1+$D102))^AM102),"")</f>
        <v/>
      </c>
      <c r="S102" s="1" t="str">
        <f aca="false">IF($C102="","",VLOOKUP($C102,coefs!$A:$V,2,FALSE()))</f>
        <v/>
      </c>
      <c r="T102" s="1" t="str">
        <f aca="false">IF($C102="","",VLOOKUP($C102,coefs!$A:$V,3,FALSE()))</f>
        <v/>
      </c>
      <c r="U102" s="1" t="str">
        <f aca="false">IF($C102="","",VLOOKUP($C102,coefs!$A:$V,4,FALSE()))</f>
        <v/>
      </c>
      <c r="V102" s="1" t="str">
        <f aca="false">IF($C102="","",VLOOKUP($C102,coefs!$A:$V,5,FALSE()))</f>
        <v/>
      </c>
      <c r="W102" s="1" t="str">
        <f aca="false">IF($C102="","",VLOOKUP($C102,coefs!$A:$V,6,FALSE()))</f>
        <v/>
      </c>
      <c r="X102" s="1" t="str">
        <f aca="false">IF($C102="","",VLOOKUP($C102,coefs!$A:$V,7,FALSE()))</f>
        <v/>
      </c>
      <c r="Y102" s="1" t="str">
        <f aca="false">IF($C102="","",VLOOKUP($C102,coefs!$A:$V,8,FALSE()))</f>
        <v/>
      </c>
      <c r="Z102" s="1" t="str">
        <f aca="false">IF($C102="","",VLOOKUP($C102,coefs!$A:$V,9,FALSE()))</f>
        <v/>
      </c>
      <c r="AA102" s="1" t="str">
        <f aca="false">IF($C102="","",VLOOKUP($C102,coefs!$A:$V,10,FALSE()))</f>
        <v/>
      </c>
      <c r="AB102" s="1" t="str">
        <f aca="false">IF($C102="","",VLOOKUP($C102,coefs!$A:$V,11,FALSE()))</f>
        <v/>
      </c>
      <c r="AC102" s="1" t="str">
        <f aca="false">IF($C102="","",VLOOKUP($C102,coefs!$A:$V,12,FALSE()))</f>
        <v/>
      </c>
      <c r="AD102" s="1" t="str">
        <f aca="false">IF($C102="","",VLOOKUP($C102,coefs!$A:$V,13,FALSE()))</f>
        <v/>
      </c>
      <c r="AE102" s="1" t="str">
        <f aca="false">IF($C102="","",VLOOKUP($C102,coefs!$A:$V,14,FALSE()))</f>
        <v/>
      </c>
      <c r="AF102" s="1" t="str">
        <f aca="false">IF($C102="","",VLOOKUP($C102,coefs!$A:$V,15,FALSE()))</f>
        <v/>
      </c>
      <c r="AG102" s="1" t="str">
        <f aca="false">IF($C102="","",VLOOKUP($C102,coefs!$A:$V,16,FALSE()))</f>
        <v/>
      </c>
      <c r="AH102" s="1" t="str">
        <f aca="false">IF($C102="","",VLOOKUP($C102,coefs!$A:$V,17,FALSE()))</f>
        <v/>
      </c>
      <c r="AI102" s="1" t="str">
        <f aca="false">IF($C102="","",VLOOKUP($C102,coefs!$A:$V,18,FALSE()))</f>
        <v/>
      </c>
      <c r="AJ102" s="1" t="str">
        <f aca="false">IF($C102="","",VLOOKUP($C102,coefs!$A:$V,19,FALSE()))</f>
        <v/>
      </c>
      <c r="AK102" s="1" t="str">
        <f aca="false">IF($C102="","",VLOOKUP($C102,coefs!$A:$V,20,FALSE()))</f>
        <v/>
      </c>
      <c r="AL102" s="1" t="str">
        <f aca="false">IF($C102="","",VLOOKUP($C102,coefs!$A:$V,21,FALSE()))</f>
        <v/>
      </c>
      <c r="AM102" s="1" t="str">
        <f aca="false">IF($C102="","",VLOOKUP($C102,coefs!$A:$V,22,FALSE()))</f>
        <v/>
      </c>
    </row>
    <row r="103" customFormat="false" ht="15" hidden="false" customHeight="true" outlineLevel="0" collapsed="false">
      <c r="A103" s="14"/>
      <c r="B103" s="14"/>
      <c r="C103" s="14"/>
      <c r="D103" s="15"/>
      <c r="E103" s="16"/>
      <c r="F103" s="16"/>
      <c r="G103" s="16"/>
      <c r="H103" s="17"/>
      <c r="I103" s="16"/>
      <c r="J103" s="16"/>
      <c r="K103" s="17"/>
      <c r="L103" s="17"/>
      <c r="M103" s="15" t="str">
        <f aca="false">IFERROR(IF(OR($C103="",$D103=""),"",IF($C103="Pinus pinaster",S103/(1+T103*EXP(-U103*$D103)),IF($C103="Quercus pyrenaica",S103*EXP(T103*EXP(-U103*$D103)),1.3+EXP(S103*EXP(-T103*$D103^(-U103)))))),"")</f>
        <v/>
      </c>
      <c r="N103" s="15" t="str">
        <f aca="false">IFERROR(IF($C103="Pinus sylvestris",IF(OR($D103="",$E103="",$F103=""),"",1.3+EXP((V103+W103*$E103)*EXP(-(X103+Y103*$F103)*$D103^(-(Z103+AA103*$E103))))),IF($C103="Pinus nigra",IF(OR($D103="",$E103="",$F103="",$J103=""),"",1.3+EXP((V103+W103*$J103)*EXP(-(X103+Y103*$F103)*$D103^(-(Z103+AA103*$E103))))),IF($C103="Pinus pinaster",IF(OR($D103="",$E103="",$H103="",$F103=""),"",(V103+W103*$E103)/(1+(X103+Y103*$H103)*EXP(-(Z103+AA103*$F103)*$D103))),IF($C103="Quercus pyrenaica",IF(OR($D103="",$E103="",$G103="",$J103=""),"",(V103+W103*$E103)*EXP((X103+Y103*$G103)*EXP(-(Z103+AA103*$J103)*$D103))),"")))),"")</f>
        <v/>
      </c>
      <c r="O103" s="15" t="str">
        <f aca="false">IFERROR(IF($C103="Pinus sylvestris",IF(OR($D103="",$H103="",$I103="",$J103=""),"",1.3+EXP((AB103+AC103*$H103)*EXP(-(AD103+AE103*$I103)*$D103^(-(AF103+AG103*$J103))))),IF($C103="Pinus nigra",IF(OR($D103="",$H103="",$L103="",$I103=""),"",1.3+EXP((AB103+AC103*$H103)*EXP(-(AD103+AE103*$L103)*$D103^(-(AF103+AG103*$I103))))),IF($C103="Pinus pinaster",IF(OR($D103="",$I103="",$K103=""),"",(AB103+AC103*$I103)/(1+(AD103+AE103*$K103)*EXP(-(AF103+AG103*$I103)*$D103))),IF($C103="Quercus pyrenaica",IF(OR($D103="",$L103="",$J103="",$I103=""),"",(AB103+AC103*$L103)*EXP((AD103+AE103*$J103)*EXP(-(AF103+AG103*$I103)*$D103))),"")))),"")</f>
        <v/>
      </c>
      <c r="P103" s="15" t="str">
        <f aca="false">IFERROR(IF(OR($C103="",$D103="",$E103="",$G103=""),"",1.3+(AH103+AI103*$E103-AJ103*$G103)*EXP(-AK103/SQRT($D103))),"")</f>
        <v/>
      </c>
      <c r="Q103" s="15" t="str">
        <f aca="false">IFERROR(IF(OR($C103="",$D103=""),"",1.3+AL103*(LN(1+$D103))^AM103),"")</f>
        <v/>
      </c>
      <c r="S103" s="1" t="str">
        <f aca="false">IF($C103="","",VLOOKUP($C103,coefs!$A:$V,2,FALSE()))</f>
        <v/>
      </c>
      <c r="T103" s="1" t="str">
        <f aca="false">IF($C103="","",VLOOKUP($C103,coefs!$A:$V,3,FALSE()))</f>
        <v/>
      </c>
      <c r="U103" s="1" t="str">
        <f aca="false">IF($C103="","",VLOOKUP($C103,coefs!$A:$V,4,FALSE()))</f>
        <v/>
      </c>
      <c r="V103" s="1" t="str">
        <f aca="false">IF($C103="","",VLOOKUP($C103,coefs!$A:$V,5,FALSE()))</f>
        <v/>
      </c>
      <c r="W103" s="1" t="str">
        <f aca="false">IF($C103="","",VLOOKUP($C103,coefs!$A:$V,6,FALSE()))</f>
        <v/>
      </c>
      <c r="X103" s="1" t="str">
        <f aca="false">IF($C103="","",VLOOKUP($C103,coefs!$A:$V,7,FALSE()))</f>
        <v/>
      </c>
      <c r="Y103" s="1" t="str">
        <f aca="false">IF($C103="","",VLOOKUP($C103,coefs!$A:$V,8,FALSE()))</f>
        <v/>
      </c>
      <c r="Z103" s="1" t="str">
        <f aca="false">IF($C103="","",VLOOKUP($C103,coefs!$A:$V,9,FALSE()))</f>
        <v/>
      </c>
      <c r="AA103" s="1" t="str">
        <f aca="false">IF($C103="","",VLOOKUP($C103,coefs!$A:$V,10,FALSE()))</f>
        <v/>
      </c>
      <c r="AB103" s="1" t="str">
        <f aca="false">IF($C103="","",VLOOKUP($C103,coefs!$A:$V,11,FALSE()))</f>
        <v/>
      </c>
      <c r="AC103" s="1" t="str">
        <f aca="false">IF($C103="","",VLOOKUP($C103,coefs!$A:$V,12,FALSE()))</f>
        <v/>
      </c>
      <c r="AD103" s="1" t="str">
        <f aca="false">IF($C103="","",VLOOKUP($C103,coefs!$A:$V,13,FALSE()))</f>
        <v/>
      </c>
      <c r="AE103" s="1" t="str">
        <f aca="false">IF($C103="","",VLOOKUP($C103,coefs!$A:$V,14,FALSE()))</f>
        <v/>
      </c>
      <c r="AF103" s="1" t="str">
        <f aca="false">IF($C103="","",VLOOKUP($C103,coefs!$A:$V,15,FALSE()))</f>
        <v/>
      </c>
      <c r="AG103" s="1" t="str">
        <f aca="false">IF($C103="","",VLOOKUP($C103,coefs!$A:$V,16,FALSE()))</f>
        <v/>
      </c>
      <c r="AH103" s="1" t="str">
        <f aca="false">IF($C103="","",VLOOKUP($C103,coefs!$A:$V,17,FALSE()))</f>
        <v/>
      </c>
      <c r="AI103" s="1" t="str">
        <f aca="false">IF($C103="","",VLOOKUP($C103,coefs!$A:$V,18,FALSE()))</f>
        <v/>
      </c>
      <c r="AJ103" s="1" t="str">
        <f aca="false">IF($C103="","",VLOOKUP($C103,coefs!$A:$V,19,FALSE()))</f>
        <v/>
      </c>
      <c r="AK103" s="1" t="str">
        <f aca="false">IF($C103="","",VLOOKUP($C103,coefs!$A:$V,20,FALSE()))</f>
        <v/>
      </c>
      <c r="AL103" s="1" t="str">
        <f aca="false">IF($C103="","",VLOOKUP($C103,coefs!$A:$V,21,FALSE()))</f>
        <v/>
      </c>
      <c r="AM103" s="1" t="str">
        <f aca="false">IF($C103="","",VLOOKUP($C103,coefs!$A:$V,22,FALSE()))</f>
        <v/>
      </c>
    </row>
    <row r="104" customFormat="false" ht="15" hidden="false" customHeight="true" outlineLevel="0" collapsed="false">
      <c r="A104" s="14"/>
      <c r="B104" s="14"/>
      <c r="C104" s="14"/>
      <c r="D104" s="15"/>
      <c r="E104" s="16"/>
      <c r="F104" s="16"/>
      <c r="G104" s="16"/>
      <c r="H104" s="17"/>
      <c r="I104" s="16"/>
      <c r="J104" s="16"/>
      <c r="K104" s="17"/>
      <c r="L104" s="17"/>
      <c r="M104" s="15" t="str">
        <f aca="false">IFERROR(IF(OR($C104="",$D104=""),"",IF($C104="Pinus pinaster",S104/(1+T104*EXP(-U104*$D104)),IF($C104="Quercus pyrenaica",S104*EXP(T104*EXP(-U104*$D104)),1.3+EXP(S104*EXP(-T104*$D104^(-U104)))))),"")</f>
        <v/>
      </c>
      <c r="N104" s="15" t="str">
        <f aca="false">IFERROR(IF($C104="Pinus sylvestris",IF(OR($D104="",$E104="",$F104=""),"",1.3+EXP((V104+W104*$E104)*EXP(-(X104+Y104*$F104)*$D104^(-(Z104+AA104*$E104))))),IF($C104="Pinus nigra",IF(OR($D104="",$E104="",$F104="",$J104=""),"",1.3+EXP((V104+W104*$J104)*EXP(-(X104+Y104*$F104)*$D104^(-(Z104+AA104*$E104))))),IF($C104="Pinus pinaster",IF(OR($D104="",$E104="",$H104="",$F104=""),"",(V104+W104*$E104)/(1+(X104+Y104*$H104)*EXP(-(Z104+AA104*$F104)*$D104))),IF($C104="Quercus pyrenaica",IF(OR($D104="",$E104="",$G104="",$J104=""),"",(V104+W104*$E104)*EXP((X104+Y104*$G104)*EXP(-(Z104+AA104*$J104)*$D104))),"")))),"")</f>
        <v/>
      </c>
      <c r="O104" s="15" t="str">
        <f aca="false">IFERROR(IF($C104="Pinus sylvestris",IF(OR($D104="",$H104="",$I104="",$J104=""),"",1.3+EXP((AB104+AC104*$H104)*EXP(-(AD104+AE104*$I104)*$D104^(-(AF104+AG104*$J104))))),IF($C104="Pinus nigra",IF(OR($D104="",$H104="",$L104="",$I104=""),"",1.3+EXP((AB104+AC104*$H104)*EXP(-(AD104+AE104*$L104)*$D104^(-(AF104+AG104*$I104))))),IF($C104="Pinus pinaster",IF(OR($D104="",$I104="",$K104=""),"",(AB104+AC104*$I104)/(1+(AD104+AE104*$K104)*EXP(-(AF104+AG104*$I104)*$D104))),IF($C104="Quercus pyrenaica",IF(OR($D104="",$L104="",$J104="",$I104=""),"",(AB104+AC104*$L104)*EXP((AD104+AE104*$J104)*EXP(-(AF104+AG104*$I104)*$D104))),"")))),"")</f>
        <v/>
      </c>
      <c r="P104" s="15" t="str">
        <f aca="false">IFERROR(IF(OR($C104="",$D104="",$E104="",$G104=""),"",1.3+(AH104+AI104*$E104-AJ104*$G104)*EXP(-AK104/SQRT($D104))),"")</f>
        <v/>
      </c>
      <c r="Q104" s="15" t="str">
        <f aca="false">IFERROR(IF(OR($C104="",$D104=""),"",1.3+AL104*(LN(1+$D104))^AM104),"")</f>
        <v/>
      </c>
      <c r="S104" s="1" t="str">
        <f aca="false">IF($C104="","",VLOOKUP($C104,coefs!$A:$V,2,FALSE()))</f>
        <v/>
      </c>
      <c r="T104" s="1" t="str">
        <f aca="false">IF($C104="","",VLOOKUP($C104,coefs!$A:$V,3,FALSE()))</f>
        <v/>
      </c>
      <c r="U104" s="1" t="str">
        <f aca="false">IF($C104="","",VLOOKUP($C104,coefs!$A:$V,4,FALSE()))</f>
        <v/>
      </c>
      <c r="V104" s="1" t="str">
        <f aca="false">IF($C104="","",VLOOKUP($C104,coefs!$A:$V,5,FALSE()))</f>
        <v/>
      </c>
      <c r="W104" s="1" t="str">
        <f aca="false">IF($C104="","",VLOOKUP($C104,coefs!$A:$V,6,FALSE()))</f>
        <v/>
      </c>
      <c r="X104" s="1" t="str">
        <f aca="false">IF($C104="","",VLOOKUP($C104,coefs!$A:$V,7,FALSE()))</f>
        <v/>
      </c>
      <c r="Y104" s="1" t="str">
        <f aca="false">IF($C104="","",VLOOKUP($C104,coefs!$A:$V,8,FALSE()))</f>
        <v/>
      </c>
      <c r="Z104" s="1" t="str">
        <f aca="false">IF($C104="","",VLOOKUP($C104,coefs!$A:$V,9,FALSE()))</f>
        <v/>
      </c>
      <c r="AA104" s="1" t="str">
        <f aca="false">IF($C104="","",VLOOKUP($C104,coefs!$A:$V,10,FALSE()))</f>
        <v/>
      </c>
      <c r="AB104" s="1" t="str">
        <f aca="false">IF($C104="","",VLOOKUP($C104,coefs!$A:$V,11,FALSE()))</f>
        <v/>
      </c>
      <c r="AC104" s="1" t="str">
        <f aca="false">IF($C104="","",VLOOKUP($C104,coefs!$A:$V,12,FALSE()))</f>
        <v/>
      </c>
      <c r="AD104" s="1" t="str">
        <f aca="false">IF($C104="","",VLOOKUP($C104,coefs!$A:$V,13,FALSE()))</f>
        <v/>
      </c>
      <c r="AE104" s="1" t="str">
        <f aca="false">IF($C104="","",VLOOKUP($C104,coefs!$A:$V,14,FALSE()))</f>
        <v/>
      </c>
      <c r="AF104" s="1" t="str">
        <f aca="false">IF($C104="","",VLOOKUP($C104,coefs!$A:$V,15,FALSE()))</f>
        <v/>
      </c>
      <c r="AG104" s="1" t="str">
        <f aca="false">IF($C104="","",VLOOKUP($C104,coefs!$A:$V,16,FALSE()))</f>
        <v/>
      </c>
      <c r="AH104" s="1" t="str">
        <f aca="false">IF($C104="","",VLOOKUP($C104,coefs!$A:$V,17,FALSE()))</f>
        <v/>
      </c>
      <c r="AI104" s="1" t="str">
        <f aca="false">IF($C104="","",VLOOKUP($C104,coefs!$A:$V,18,FALSE()))</f>
        <v/>
      </c>
      <c r="AJ104" s="1" t="str">
        <f aca="false">IF($C104="","",VLOOKUP($C104,coefs!$A:$V,19,FALSE()))</f>
        <v/>
      </c>
      <c r="AK104" s="1" t="str">
        <f aca="false">IF($C104="","",VLOOKUP($C104,coefs!$A:$V,20,FALSE()))</f>
        <v/>
      </c>
      <c r="AL104" s="1" t="str">
        <f aca="false">IF($C104="","",VLOOKUP($C104,coefs!$A:$V,21,FALSE()))</f>
        <v/>
      </c>
      <c r="AM104" s="1" t="str">
        <f aca="false">IF($C104="","",VLOOKUP($C104,coefs!$A:$V,22,FALSE()))</f>
        <v/>
      </c>
    </row>
    <row r="105" customFormat="false" ht="15" hidden="false" customHeight="true" outlineLevel="0" collapsed="false">
      <c r="A105" s="14"/>
      <c r="B105" s="14"/>
      <c r="C105" s="14"/>
      <c r="D105" s="15"/>
      <c r="E105" s="16"/>
      <c r="F105" s="16"/>
      <c r="G105" s="16"/>
      <c r="H105" s="17"/>
      <c r="I105" s="16"/>
      <c r="J105" s="16"/>
      <c r="K105" s="17"/>
      <c r="L105" s="17"/>
      <c r="M105" s="15" t="str">
        <f aca="false">IFERROR(IF(OR($C105="",$D105=""),"",IF($C105="Pinus pinaster",S105/(1+T105*EXP(-U105*$D105)),IF($C105="Quercus pyrenaica",S105*EXP(T105*EXP(-U105*$D105)),1.3+EXP(S105*EXP(-T105*$D105^(-U105)))))),"")</f>
        <v/>
      </c>
      <c r="N105" s="15" t="str">
        <f aca="false">IFERROR(IF($C105="Pinus sylvestris",IF(OR($D105="",$E105="",$F105=""),"",1.3+EXP((V105+W105*$E105)*EXP(-(X105+Y105*$F105)*$D105^(-(Z105+AA105*$E105))))),IF($C105="Pinus nigra",IF(OR($D105="",$E105="",$F105="",$J105=""),"",1.3+EXP((V105+W105*$J105)*EXP(-(X105+Y105*$F105)*$D105^(-(Z105+AA105*$E105))))),IF($C105="Pinus pinaster",IF(OR($D105="",$E105="",$H105="",$F105=""),"",(V105+W105*$E105)/(1+(X105+Y105*$H105)*EXP(-(Z105+AA105*$F105)*$D105))),IF($C105="Quercus pyrenaica",IF(OR($D105="",$E105="",$G105="",$J105=""),"",(V105+W105*$E105)*EXP((X105+Y105*$G105)*EXP(-(Z105+AA105*$J105)*$D105))),"")))),"")</f>
        <v/>
      </c>
      <c r="O105" s="15" t="str">
        <f aca="false">IFERROR(IF($C105="Pinus sylvestris",IF(OR($D105="",$H105="",$I105="",$J105=""),"",1.3+EXP((AB105+AC105*$H105)*EXP(-(AD105+AE105*$I105)*$D105^(-(AF105+AG105*$J105))))),IF($C105="Pinus nigra",IF(OR($D105="",$H105="",$L105="",$I105=""),"",1.3+EXP((AB105+AC105*$H105)*EXP(-(AD105+AE105*$L105)*$D105^(-(AF105+AG105*$I105))))),IF($C105="Pinus pinaster",IF(OR($D105="",$I105="",$K105=""),"",(AB105+AC105*$I105)/(1+(AD105+AE105*$K105)*EXP(-(AF105+AG105*$I105)*$D105))),IF($C105="Quercus pyrenaica",IF(OR($D105="",$L105="",$J105="",$I105=""),"",(AB105+AC105*$L105)*EXP((AD105+AE105*$J105)*EXP(-(AF105+AG105*$I105)*$D105))),"")))),"")</f>
        <v/>
      </c>
      <c r="P105" s="15" t="str">
        <f aca="false">IFERROR(IF(OR($C105="",$D105="",$E105="",$G105=""),"",1.3+(AH105+AI105*$E105-AJ105*$G105)*EXP(-AK105/SQRT($D105))),"")</f>
        <v/>
      </c>
      <c r="Q105" s="15" t="str">
        <f aca="false">IFERROR(IF(OR($C105="",$D105=""),"",1.3+AL105*(LN(1+$D105))^AM105),"")</f>
        <v/>
      </c>
      <c r="S105" s="1" t="str">
        <f aca="false">IF($C105="","",VLOOKUP($C105,coefs!$A:$V,2,FALSE()))</f>
        <v/>
      </c>
      <c r="T105" s="1" t="str">
        <f aca="false">IF($C105="","",VLOOKUP($C105,coefs!$A:$V,3,FALSE()))</f>
        <v/>
      </c>
      <c r="U105" s="1" t="str">
        <f aca="false">IF($C105="","",VLOOKUP($C105,coefs!$A:$V,4,FALSE()))</f>
        <v/>
      </c>
      <c r="V105" s="1" t="str">
        <f aca="false">IF($C105="","",VLOOKUP($C105,coefs!$A:$V,5,FALSE()))</f>
        <v/>
      </c>
      <c r="W105" s="1" t="str">
        <f aca="false">IF($C105="","",VLOOKUP($C105,coefs!$A:$V,6,FALSE()))</f>
        <v/>
      </c>
      <c r="X105" s="1" t="str">
        <f aca="false">IF($C105="","",VLOOKUP($C105,coefs!$A:$V,7,FALSE()))</f>
        <v/>
      </c>
      <c r="Y105" s="1" t="str">
        <f aca="false">IF($C105="","",VLOOKUP($C105,coefs!$A:$V,8,FALSE()))</f>
        <v/>
      </c>
      <c r="Z105" s="1" t="str">
        <f aca="false">IF($C105="","",VLOOKUP($C105,coefs!$A:$V,9,FALSE()))</f>
        <v/>
      </c>
      <c r="AA105" s="1" t="str">
        <f aca="false">IF($C105="","",VLOOKUP($C105,coefs!$A:$V,10,FALSE()))</f>
        <v/>
      </c>
      <c r="AB105" s="1" t="str">
        <f aca="false">IF($C105="","",VLOOKUP($C105,coefs!$A:$V,11,FALSE()))</f>
        <v/>
      </c>
      <c r="AC105" s="1" t="str">
        <f aca="false">IF($C105="","",VLOOKUP($C105,coefs!$A:$V,12,FALSE()))</f>
        <v/>
      </c>
      <c r="AD105" s="1" t="str">
        <f aca="false">IF($C105="","",VLOOKUP($C105,coefs!$A:$V,13,FALSE()))</f>
        <v/>
      </c>
      <c r="AE105" s="1" t="str">
        <f aca="false">IF($C105="","",VLOOKUP($C105,coefs!$A:$V,14,FALSE()))</f>
        <v/>
      </c>
      <c r="AF105" s="1" t="str">
        <f aca="false">IF($C105="","",VLOOKUP($C105,coefs!$A:$V,15,FALSE()))</f>
        <v/>
      </c>
      <c r="AG105" s="1" t="str">
        <f aca="false">IF($C105="","",VLOOKUP($C105,coefs!$A:$V,16,FALSE()))</f>
        <v/>
      </c>
      <c r="AH105" s="1" t="str">
        <f aca="false">IF($C105="","",VLOOKUP($C105,coefs!$A:$V,17,FALSE()))</f>
        <v/>
      </c>
      <c r="AI105" s="1" t="str">
        <f aca="false">IF($C105="","",VLOOKUP($C105,coefs!$A:$V,18,FALSE()))</f>
        <v/>
      </c>
      <c r="AJ105" s="1" t="str">
        <f aca="false">IF($C105="","",VLOOKUP($C105,coefs!$A:$V,19,FALSE()))</f>
        <v/>
      </c>
      <c r="AK105" s="1" t="str">
        <f aca="false">IF($C105="","",VLOOKUP($C105,coefs!$A:$V,20,FALSE()))</f>
        <v/>
      </c>
      <c r="AL105" s="1" t="str">
        <f aca="false">IF($C105="","",VLOOKUP($C105,coefs!$A:$V,21,FALSE()))</f>
        <v/>
      </c>
      <c r="AM105" s="1" t="str">
        <f aca="false">IF($C105="","",VLOOKUP($C105,coefs!$A:$V,22,FALSE()))</f>
        <v/>
      </c>
    </row>
    <row r="106" customFormat="false" ht="15" hidden="false" customHeight="true" outlineLevel="0" collapsed="false">
      <c r="A106" s="14"/>
      <c r="B106" s="14"/>
      <c r="C106" s="14"/>
      <c r="D106" s="15"/>
      <c r="E106" s="16"/>
      <c r="F106" s="16"/>
      <c r="G106" s="16"/>
      <c r="H106" s="17"/>
      <c r="I106" s="16"/>
      <c r="J106" s="16"/>
      <c r="K106" s="17"/>
      <c r="L106" s="17"/>
      <c r="M106" s="15" t="str">
        <f aca="false">IFERROR(IF(OR($C106="",$D106=""),"",IF($C106="Pinus pinaster",S106/(1+T106*EXP(-U106*$D106)),IF($C106="Quercus pyrenaica",S106*EXP(T106*EXP(-U106*$D106)),1.3+EXP(S106*EXP(-T106*$D106^(-U106)))))),"")</f>
        <v/>
      </c>
      <c r="N106" s="15" t="str">
        <f aca="false">IFERROR(IF($C106="Pinus sylvestris",IF(OR($D106="",$E106="",$F106=""),"",1.3+EXP((V106+W106*$E106)*EXP(-(X106+Y106*$F106)*$D106^(-(Z106+AA106*$E106))))),IF($C106="Pinus nigra",IF(OR($D106="",$E106="",$F106="",$J106=""),"",1.3+EXP((V106+W106*$J106)*EXP(-(X106+Y106*$F106)*$D106^(-(Z106+AA106*$E106))))),IF($C106="Pinus pinaster",IF(OR($D106="",$E106="",$H106="",$F106=""),"",(V106+W106*$E106)/(1+(X106+Y106*$H106)*EXP(-(Z106+AA106*$F106)*$D106))),IF($C106="Quercus pyrenaica",IF(OR($D106="",$E106="",$G106="",$J106=""),"",(V106+W106*$E106)*EXP((X106+Y106*$G106)*EXP(-(Z106+AA106*$J106)*$D106))),"")))),"")</f>
        <v/>
      </c>
      <c r="O106" s="15" t="str">
        <f aca="false">IFERROR(IF($C106="Pinus sylvestris",IF(OR($D106="",$H106="",$I106="",$J106=""),"",1.3+EXP((AB106+AC106*$H106)*EXP(-(AD106+AE106*$I106)*$D106^(-(AF106+AG106*$J106))))),IF($C106="Pinus nigra",IF(OR($D106="",$H106="",$L106="",$I106=""),"",1.3+EXP((AB106+AC106*$H106)*EXP(-(AD106+AE106*$L106)*$D106^(-(AF106+AG106*$I106))))),IF($C106="Pinus pinaster",IF(OR($D106="",$I106="",$K106=""),"",(AB106+AC106*$I106)/(1+(AD106+AE106*$K106)*EXP(-(AF106+AG106*$I106)*$D106))),IF($C106="Quercus pyrenaica",IF(OR($D106="",$L106="",$J106="",$I106=""),"",(AB106+AC106*$L106)*EXP((AD106+AE106*$J106)*EXP(-(AF106+AG106*$I106)*$D106))),"")))),"")</f>
        <v/>
      </c>
      <c r="P106" s="15" t="str">
        <f aca="false">IFERROR(IF(OR($C106="",$D106="",$E106="",$G106=""),"",1.3+(AH106+AI106*$E106-AJ106*$G106)*EXP(-AK106/SQRT($D106))),"")</f>
        <v/>
      </c>
      <c r="Q106" s="15" t="str">
        <f aca="false">IFERROR(IF(OR($C106="",$D106=""),"",1.3+AL106*(LN(1+$D106))^AM106),"")</f>
        <v/>
      </c>
      <c r="S106" s="1" t="str">
        <f aca="false">IF($C106="","",VLOOKUP($C106,coefs!$A:$V,2,FALSE()))</f>
        <v/>
      </c>
      <c r="T106" s="1" t="str">
        <f aca="false">IF($C106="","",VLOOKUP($C106,coefs!$A:$V,3,FALSE()))</f>
        <v/>
      </c>
      <c r="U106" s="1" t="str">
        <f aca="false">IF($C106="","",VLOOKUP($C106,coefs!$A:$V,4,FALSE()))</f>
        <v/>
      </c>
      <c r="V106" s="1" t="str">
        <f aca="false">IF($C106="","",VLOOKUP($C106,coefs!$A:$V,5,FALSE()))</f>
        <v/>
      </c>
      <c r="W106" s="1" t="str">
        <f aca="false">IF($C106="","",VLOOKUP($C106,coefs!$A:$V,6,FALSE()))</f>
        <v/>
      </c>
      <c r="X106" s="1" t="str">
        <f aca="false">IF($C106="","",VLOOKUP($C106,coefs!$A:$V,7,FALSE()))</f>
        <v/>
      </c>
      <c r="Y106" s="1" t="str">
        <f aca="false">IF($C106="","",VLOOKUP($C106,coefs!$A:$V,8,FALSE()))</f>
        <v/>
      </c>
      <c r="Z106" s="1" t="str">
        <f aca="false">IF($C106="","",VLOOKUP($C106,coefs!$A:$V,9,FALSE()))</f>
        <v/>
      </c>
      <c r="AA106" s="1" t="str">
        <f aca="false">IF($C106="","",VLOOKUP($C106,coefs!$A:$V,10,FALSE()))</f>
        <v/>
      </c>
      <c r="AB106" s="1" t="str">
        <f aca="false">IF($C106="","",VLOOKUP($C106,coefs!$A:$V,11,FALSE()))</f>
        <v/>
      </c>
      <c r="AC106" s="1" t="str">
        <f aca="false">IF($C106="","",VLOOKUP($C106,coefs!$A:$V,12,FALSE()))</f>
        <v/>
      </c>
      <c r="AD106" s="1" t="str">
        <f aca="false">IF($C106="","",VLOOKUP($C106,coefs!$A:$V,13,FALSE()))</f>
        <v/>
      </c>
      <c r="AE106" s="1" t="str">
        <f aca="false">IF($C106="","",VLOOKUP($C106,coefs!$A:$V,14,FALSE()))</f>
        <v/>
      </c>
      <c r="AF106" s="1" t="str">
        <f aca="false">IF($C106="","",VLOOKUP($C106,coefs!$A:$V,15,FALSE()))</f>
        <v/>
      </c>
      <c r="AG106" s="1" t="str">
        <f aca="false">IF($C106="","",VLOOKUP($C106,coefs!$A:$V,16,FALSE()))</f>
        <v/>
      </c>
      <c r="AH106" s="1" t="str">
        <f aca="false">IF($C106="","",VLOOKUP($C106,coefs!$A:$V,17,FALSE()))</f>
        <v/>
      </c>
      <c r="AI106" s="1" t="str">
        <f aca="false">IF($C106="","",VLOOKUP($C106,coefs!$A:$V,18,FALSE()))</f>
        <v/>
      </c>
      <c r="AJ106" s="1" t="str">
        <f aca="false">IF($C106="","",VLOOKUP($C106,coefs!$A:$V,19,FALSE()))</f>
        <v/>
      </c>
      <c r="AK106" s="1" t="str">
        <f aca="false">IF($C106="","",VLOOKUP($C106,coefs!$A:$V,20,FALSE()))</f>
        <v/>
      </c>
      <c r="AL106" s="1" t="str">
        <f aca="false">IF($C106="","",VLOOKUP($C106,coefs!$A:$V,21,FALSE()))</f>
        <v/>
      </c>
      <c r="AM106" s="1" t="str">
        <f aca="false">IF($C106="","",VLOOKUP($C106,coefs!$A:$V,22,FALSE()))</f>
        <v/>
      </c>
    </row>
    <row r="107" customFormat="false" ht="15" hidden="false" customHeight="true" outlineLevel="0" collapsed="false">
      <c r="A107" s="14"/>
      <c r="B107" s="14"/>
      <c r="C107" s="14"/>
      <c r="D107" s="15"/>
      <c r="E107" s="16"/>
      <c r="F107" s="16"/>
      <c r="G107" s="16"/>
      <c r="H107" s="17"/>
      <c r="I107" s="16"/>
      <c r="J107" s="16"/>
      <c r="K107" s="17"/>
      <c r="L107" s="17"/>
      <c r="M107" s="15" t="str">
        <f aca="false">IFERROR(IF(OR($C107="",$D107=""),"",IF($C107="Pinus pinaster",S107/(1+T107*EXP(-U107*$D107)),IF($C107="Quercus pyrenaica",S107*EXP(T107*EXP(-U107*$D107)),1.3+EXP(S107*EXP(-T107*$D107^(-U107)))))),"")</f>
        <v/>
      </c>
      <c r="N107" s="15" t="str">
        <f aca="false">IFERROR(IF($C107="Pinus sylvestris",IF(OR($D107="",$E107="",$F107=""),"",1.3+EXP((V107+W107*$E107)*EXP(-(X107+Y107*$F107)*$D107^(-(Z107+AA107*$E107))))),IF($C107="Pinus nigra",IF(OR($D107="",$E107="",$F107="",$J107=""),"",1.3+EXP((V107+W107*$J107)*EXP(-(X107+Y107*$F107)*$D107^(-(Z107+AA107*$E107))))),IF($C107="Pinus pinaster",IF(OR($D107="",$E107="",$H107="",$F107=""),"",(V107+W107*$E107)/(1+(X107+Y107*$H107)*EXP(-(Z107+AA107*$F107)*$D107))),IF($C107="Quercus pyrenaica",IF(OR($D107="",$E107="",$G107="",$J107=""),"",(V107+W107*$E107)*EXP((X107+Y107*$G107)*EXP(-(Z107+AA107*$J107)*$D107))),"")))),"")</f>
        <v/>
      </c>
      <c r="O107" s="15" t="str">
        <f aca="false">IFERROR(IF($C107="Pinus sylvestris",IF(OR($D107="",$H107="",$I107="",$J107=""),"",1.3+EXP((AB107+AC107*$H107)*EXP(-(AD107+AE107*$I107)*$D107^(-(AF107+AG107*$J107))))),IF($C107="Pinus nigra",IF(OR($D107="",$H107="",$L107="",$I107=""),"",1.3+EXP((AB107+AC107*$H107)*EXP(-(AD107+AE107*$L107)*$D107^(-(AF107+AG107*$I107))))),IF($C107="Pinus pinaster",IF(OR($D107="",$I107="",$K107=""),"",(AB107+AC107*$I107)/(1+(AD107+AE107*$K107)*EXP(-(AF107+AG107*$I107)*$D107))),IF($C107="Quercus pyrenaica",IF(OR($D107="",$L107="",$J107="",$I107=""),"",(AB107+AC107*$L107)*EXP((AD107+AE107*$J107)*EXP(-(AF107+AG107*$I107)*$D107))),"")))),"")</f>
        <v/>
      </c>
      <c r="P107" s="15" t="str">
        <f aca="false">IFERROR(IF(OR($C107="",$D107="",$E107="",$G107=""),"",1.3+(AH107+AI107*$E107-AJ107*$G107)*EXP(-AK107/SQRT($D107))),"")</f>
        <v/>
      </c>
      <c r="Q107" s="15" t="str">
        <f aca="false">IFERROR(IF(OR($C107="",$D107=""),"",1.3+AL107*(LN(1+$D107))^AM107),"")</f>
        <v/>
      </c>
      <c r="S107" s="1" t="str">
        <f aca="false">IF($C107="","",VLOOKUP($C107,coefs!$A:$V,2,FALSE()))</f>
        <v/>
      </c>
      <c r="T107" s="1" t="str">
        <f aca="false">IF($C107="","",VLOOKUP($C107,coefs!$A:$V,3,FALSE()))</f>
        <v/>
      </c>
      <c r="U107" s="1" t="str">
        <f aca="false">IF($C107="","",VLOOKUP($C107,coefs!$A:$V,4,FALSE()))</f>
        <v/>
      </c>
      <c r="V107" s="1" t="str">
        <f aca="false">IF($C107="","",VLOOKUP($C107,coefs!$A:$V,5,FALSE()))</f>
        <v/>
      </c>
      <c r="W107" s="1" t="str">
        <f aca="false">IF($C107="","",VLOOKUP($C107,coefs!$A:$V,6,FALSE()))</f>
        <v/>
      </c>
      <c r="X107" s="1" t="str">
        <f aca="false">IF($C107="","",VLOOKUP($C107,coefs!$A:$V,7,FALSE()))</f>
        <v/>
      </c>
      <c r="Y107" s="1" t="str">
        <f aca="false">IF($C107="","",VLOOKUP($C107,coefs!$A:$V,8,FALSE()))</f>
        <v/>
      </c>
      <c r="Z107" s="1" t="str">
        <f aca="false">IF($C107="","",VLOOKUP($C107,coefs!$A:$V,9,FALSE()))</f>
        <v/>
      </c>
      <c r="AA107" s="1" t="str">
        <f aca="false">IF($C107="","",VLOOKUP($C107,coefs!$A:$V,10,FALSE()))</f>
        <v/>
      </c>
      <c r="AB107" s="1" t="str">
        <f aca="false">IF($C107="","",VLOOKUP($C107,coefs!$A:$V,11,FALSE()))</f>
        <v/>
      </c>
      <c r="AC107" s="1" t="str">
        <f aca="false">IF($C107="","",VLOOKUP($C107,coefs!$A:$V,12,FALSE()))</f>
        <v/>
      </c>
      <c r="AD107" s="1" t="str">
        <f aca="false">IF($C107="","",VLOOKUP($C107,coefs!$A:$V,13,FALSE()))</f>
        <v/>
      </c>
      <c r="AE107" s="1" t="str">
        <f aca="false">IF($C107="","",VLOOKUP($C107,coefs!$A:$V,14,FALSE()))</f>
        <v/>
      </c>
      <c r="AF107" s="1" t="str">
        <f aca="false">IF($C107="","",VLOOKUP($C107,coefs!$A:$V,15,FALSE()))</f>
        <v/>
      </c>
      <c r="AG107" s="1" t="str">
        <f aca="false">IF($C107="","",VLOOKUP($C107,coefs!$A:$V,16,FALSE()))</f>
        <v/>
      </c>
      <c r="AH107" s="1" t="str">
        <f aca="false">IF($C107="","",VLOOKUP($C107,coefs!$A:$V,17,FALSE()))</f>
        <v/>
      </c>
      <c r="AI107" s="1" t="str">
        <f aca="false">IF($C107="","",VLOOKUP($C107,coefs!$A:$V,18,FALSE()))</f>
        <v/>
      </c>
      <c r="AJ107" s="1" t="str">
        <f aca="false">IF($C107="","",VLOOKUP($C107,coefs!$A:$V,19,FALSE()))</f>
        <v/>
      </c>
      <c r="AK107" s="1" t="str">
        <f aca="false">IF($C107="","",VLOOKUP($C107,coefs!$A:$V,20,FALSE()))</f>
        <v/>
      </c>
      <c r="AL107" s="1" t="str">
        <f aca="false">IF($C107="","",VLOOKUP($C107,coefs!$A:$V,21,FALSE()))</f>
        <v/>
      </c>
      <c r="AM107" s="1" t="str">
        <f aca="false">IF($C107="","",VLOOKUP($C107,coefs!$A:$V,22,FALSE()))</f>
        <v/>
      </c>
    </row>
    <row r="108" customFormat="false" ht="15" hidden="false" customHeight="true" outlineLevel="0" collapsed="false">
      <c r="A108" s="14"/>
      <c r="B108" s="14"/>
      <c r="C108" s="14"/>
      <c r="D108" s="15"/>
      <c r="E108" s="16"/>
      <c r="F108" s="16"/>
      <c r="G108" s="16"/>
      <c r="H108" s="17"/>
      <c r="I108" s="16"/>
      <c r="J108" s="16"/>
      <c r="K108" s="17"/>
      <c r="L108" s="17"/>
      <c r="M108" s="15" t="str">
        <f aca="false">IFERROR(IF(OR($C108="",$D108=""),"",IF($C108="Pinus pinaster",S108/(1+T108*EXP(-U108*$D108)),IF($C108="Quercus pyrenaica",S108*EXP(T108*EXP(-U108*$D108)),1.3+EXP(S108*EXP(-T108*$D108^(-U108)))))),"")</f>
        <v/>
      </c>
      <c r="N108" s="15" t="str">
        <f aca="false">IFERROR(IF($C108="Pinus sylvestris",IF(OR($D108="",$E108="",$F108=""),"",1.3+EXP((V108+W108*$E108)*EXP(-(X108+Y108*$F108)*$D108^(-(Z108+AA108*$E108))))),IF($C108="Pinus nigra",IF(OR($D108="",$E108="",$F108="",$J108=""),"",1.3+EXP((V108+W108*$J108)*EXP(-(X108+Y108*$F108)*$D108^(-(Z108+AA108*$E108))))),IF($C108="Pinus pinaster",IF(OR($D108="",$E108="",$H108="",$F108=""),"",(V108+W108*$E108)/(1+(X108+Y108*$H108)*EXP(-(Z108+AA108*$F108)*$D108))),IF($C108="Quercus pyrenaica",IF(OR($D108="",$E108="",$G108="",$J108=""),"",(V108+W108*$E108)*EXP((X108+Y108*$G108)*EXP(-(Z108+AA108*$J108)*$D108))),"")))),"")</f>
        <v/>
      </c>
      <c r="O108" s="15" t="str">
        <f aca="false">IFERROR(IF($C108="Pinus sylvestris",IF(OR($D108="",$H108="",$I108="",$J108=""),"",1.3+EXP((AB108+AC108*$H108)*EXP(-(AD108+AE108*$I108)*$D108^(-(AF108+AG108*$J108))))),IF($C108="Pinus nigra",IF(OR($D108="",$H108="",$L108="",$I108=""),"",1.3+EXP((AB108+AC108*$H108)*EXP(-(AD108+AE108*$L108)*$D108^(-(AF108+AG108*$I108))))),IF($C108="Pinus pinaster",IF(OR($D108="",$I108="",$K108=""),"",(AB108+AC108*$I108)/(1+(AD108+AE108*$K108)*EXP(-(AF108+AG108*$I108)*$D108))),IF($C108="Quercus pyrenaica",IF(OR($D108="",$L108="",$J108="",$I108=""),"",(AB108+AC108*$L108)*EXP((AD108+AE108*$J108)*EXP(-(AF108+AG108*$I108)*$D108))),"")))),"")</f>
        <v/>
      </c>
      <c r="P108" s="15" t="str">
        <f aca="false">IFERROR(IF(OR($C108="",$D108="",$E108="",$G108=""),"",1.3+(AH108+AI108*$E108-AJ108*$G108)*EXP(-AK108/SQRT($D108))),"")</f>
        <v/>
      </c>
      <c r="Q108" s="15" t="str">
        <f aca="false">IFERROR(IF(OR($C108="",$D108=""),"",1.3+AL108*(LN(1+$D108))^AM108),"")</f>
        <v/>
      </c>
      <c r="S108" s="1" t="str">
        <f aca="false">IF($C108="","",VLOOKUP($C108,coefs!$A:$V,2,FALSE()))</f>
        <v/>
      </c>
      <c r="T108" s="1" t="str">
        <f aca="false">IF($C108="","",VLOOKUP($C108,coefs!$A:$V,3,FALSE()))</f>
        <v/>
      </c>
      <c r="U108" s="1" t="str">
        <f aca="false">IF($C108="","",VLOOKUP($C108,coefs!$A:$V,4,FALSE()))</f>
        <v/>
      </c>
      <c r="V108" s="1" t="str">
        <f aca="false">IF($C108="","",VLOOKUP($C108,coefs!$A:$V,5,FALSE()))</f>
        <v/>
      </c>
      <c r="W108" s="1" t="str">
        <f aca="false">IF($C108="","",VLOOKUP($C108,coefs!$A:$V,6,FALSE()))</f>
        <v/>
      </c>
      <c r="X108" s="1" t="str">
        <f aca="false">IF($C108="","",VLOOKUP($C108,coefs!$A:$V,7,FALSE()))</f>
        <v/>
      </c>
      <c r="Y108" s="1" t="str">
        <f aca="false">IF($C108="","",VLOOKUP($C108,coefs!$A:$V,8,FALSE()))</f>
        <v/>
      </c>
      <c r="Z108" s="1" t="str">
        <f aca="false">IF($C108="","",VLOOKUP($C108,coefs!$A:$V,9,FALSE()))</f>
        <v/>
      </c>
      <c r="AA108" s="1" t="str">
        <f aca="false">IF($C108="","",VLOOKUP($C108,coefs!$A:$V,10,FALSE()))</f>
        <v/>
      </c>
      <c r="AB108" s="1" t="str">
        <f aca="false">IF($C108="","",VLOOKUP($C108,coefs!$A:$V,11,FALSE()))</f>
        <v/>
      </c>
      <c r="AC108" s="1" t="str">
        <f aca="false">IF($C108="","",VLOOKUP($C108,coefs!$A:$V,12,FALSE()))</f>
        <v/>
      </c>
      <c r="AD108" s="1" t="str">
        <f aca="false">IF($C108="","",VLOOKUP($C108,coefs!$A:$V,13,FALSE()))</f>
        <v/>
      </c>
      <c r="AE108" s="1" t="str">
        <f aca="false">IF($C108="","",VLOOKUP($C108,coefs!$A:$V,14,FALSE()))</f>
        <v/>
      </c>
      <c r="AF108" s="1" t="str">
        <f aca="false">IF($C108="","",VLOOKUP($C108,coefs!$A:$V,15,FALSE()))</f>
        <v/>
      </c>
      <c r="AG108" s="1" t="str">
        <f aca="false">IF($C108="","",VLOOKUP($C108,coefs!$A:$V,16,FALSE()))</f>
        <v/>
      </c>
      <c r="AH108" s="1" t="str">
        <f aca="false">IF($C108="","",VLOOKUP($C108,coefs!$A:$V,17,FALSE()))</f>
        <v/>
      </c>
      <c r="AI108" s="1" t="str">
        <f aca="false">IF($C108="","",VLOOKUP($C108,coefs!$A:$V,18,FALSE()))</f>
        <v/>
      </c>
      <c r="AJ108" s="1" t="str">
        <f aca="false">IF($C108="","",VLOOKUP($C108,coefs!$A:$V,19,FALSE()))</f>
        <v/>
      </c>
      <c r="AK108" s="1" t="str">
        <f aca="false">IF($C108="","",VLOOKUP($C108,coefs!$A:$V,20,FALSE()))</f>
        <v/>
      </c>
      <c r="AL108" s="1" t="str">
        <f aca="false">IF($C108="","",VLOOKUP($C108,coefs!$A:$V,21,FALSE()))</f>
        <v/>
      </c>
      <c r="AM108" s="1" t="str">
        <f aca="false">IF($C108="","",VLOOKUP($C108,coefs!$A:$V,22,FALSE()))</f>
        <v/>
      </c>
    </row>
    <row r="109" customFormat="false" ht="15" hidden="false" customHeight="true" outlineLevel="0" collapsed="false">
      <c r="A109" s="14"/>
      <c r="B109" s="14"/>
      <c r="C109" s="14"/>
      <c r="D109" s="15"/>
      <c r="E109" s="16"/>
      <c r="F109" s="16"/>
      <c r="G109" s="16"/>
      <c r="H109" s="17"/>
      <c r="I109" s="16"/>
      <c r="J109" s="16"/>
      <c r="K109" s="17"/>
      <c r="L109" s="17"/>
      <c r="M109" s="15" t="str">
        <f aca="false">IFERROR(IF(OR($C109="",$D109=""),"",IF($C109="Pinus pinaster",S109/(1+T109*EXP(-U109*$D109)),IF($C109="Quercus pyrenaica",S109*EXP(T109*EXP(-U109*$D109)),1.3+EXP(S109*EXP(-T109*$D109^(-U109)))))),"")</f>
        <v/>
      </c>
      <c r="N109" s="15" t="str">
        <f aca="false">IFERROR(IF($C109="Pinus sylvestris",IF(OR($D109="",$E109="",$F109=""),"",1.3+EXP((V109+W109*$E109)*EXP(-(X109+Y109*$F109)*$D109^(-(Z109+AA109*$E109))))),IF($C109="Pinus nigra",IF(OR($D109="",$E109="",$F109="",$J109=""),"",1.3+EXP((V109+W109*$J109)*EXP(-(X109+Y109*$F109)*$D109^(-(Z109+AA109*$E109))))),IF($C109="Pinus pinaster",IF(OR($D109="",$E109="",$H109="",$F109=""),"",(V109+W109*$E109)/(1+(X109+Y109*$H109)*EXP(-(Z109+AA109*$F109)*$D109))),IF($C109="Quercus pyrenaica",IF(OR($D109="",$E109="",$G109="",$J109=""),"",(V109+W109*$E109)*EXP((X109+Y109*$G109)*EXP(-(Z109+AA109*$J109)*$D109))),"")))),"")</f>
        <v/>
      </c>
      <c r="O109" s="15" t="str">
        <f aca="false">IFERROR(IF($C109="Pinus sylvestris",IF(OR($D109="",$H109="",$I109="",$J109=""),"",1.3+EXP((AB109+AC109*$H109)*EXP(-(AD109+AE109*$I109)*$D109^(-(AF109+AG109*$J109))))),IF($C109="Pinus nigra",IF(OR($D109="",$H109="",$L109="",$I109=""),"",1.3+EXP((AB109+AC109*$H109)*EXP(-(AD109+AE109*$L109)*$D109^(-(AF109+AG109*$I109))))),IF($C109="Pinus pinaster",IF(OR($D109="",$I109="",$K109=""),"",(AB109+AC109*$I109)/(1+(AD109+AE109*$K109)*EXP(-(AF109+AG109*$I109)*$D109))),IF($C109="Quercus pyrenaica",IF(OR($D109="",$L109="",$J109="",$I109=""),"",(AB109+AC109*$L109)*EXP((AD109+AE109*$J109)*EXP(-(AF109+AG109*$I109)*$D109))),"")))),"")</f>
        <v/>
      </c>
      <c r="P109" s="15" t="str">
        <f aca="false">IFERROR(IF(OR($C109="",$D109="",$E109="",$G109=""),"",1.3+(AH109+AI109*$E109-AJ109*$G109)*EXP(-AK109/SQRT($D109))),"")</f>
        <v/>
      </c>
      <c r="Q109" s="15" t="str">
        <f aca="false">IFERROR(IF(OR($C109="",$D109=""),"",1.3+AL109*(LN(1+$D109))^AM109),"")</f>
        <v/>
      </c>
      <c r="S109" s="1" t="str">
        <f aca="false">IF($C109="","",VLOOKUP($C109,coefs!$A:$V,2,FALSE()))</f>
        <v/>
      </c>
      <c r="T109" s="1" t="str">
        <f aca="false">IF($C109="","",VLOOKUP($C109,coefs!$A:$V,3,FALSE()))</f>
        <v/>
      </c>
      <c r="U109" s="1" t="str">
        <f aca="false">IF($C109="","",VLOOKUP($C109,coefs!$A:$V,4,FALSE()))</f>
        <v/>
      </c>
      <c r="V109" s="1" t="str">
        <f aca="false">IF($C109="","",VLOOKUP($C109,coefs!$A:$V,5,FALSE()))</f>
        <v/>
      </c>
      <c r="W109" s="1" t="str">
        <f aca="false">IF($C109="","",VLOOKUP($C109,coefs!$A:$V,6,FALSE()))</f>
        <v/>
      </c>
      <c r="X109" s="1" t="str">
        <f aca="false">IF($C109="","",VLOOKUP($C109,coefs!$A:$V,7,FALSE()))</f>
        <v/>
      </c>
      <c r="Y109" s="1" t="str">
        <f aca="false">IF($C109="","",VLOOKUP($C109,coefs!$A:$V,8,FALSE()))</f>
        <v/>
      </c>
      <c r="Z109" s="1" t="str">
        <f aca="false">IF($C109="","",VLOOKUP($C109,coefs!$A:$V,9,FALSE()))</f>
        <v/>
      </c>
      <c r="AA109" s="1" t="str">
        <f aca="false">IF($C109="","",VLOOKUP($C109,coefs!$A:$V,10,FALSE()))</f>
        <v/>
      </c>
      <c r="AB109" s="1" t="str">
        <f aca="false">IF($C109="","",VLOOKUP($C109,coefs!$A:$V,11,FALSE()))</f>
        <v/>
      </c>
      <c r="AC109" s="1" t="str">
        <f aca="false">IF($C109="","",VLOOKUP($C109,coefs!$A:$V,12,FALSE()))</f>
        <v/>
      </c>
      <c r="AD109" s="1" t="str">
        <f aca="false">IF($C109="","",VLOOKUP($C109,coefs!$A:$V,13,FALSE()))</f>
        <v/>
      </c>
      <c r="AE109" s="1" t="str">
        <f aca="false">IF($C109="","",VLOOKUP($C109,coefs!$A:$V,14,FALSE()))</f>
        <v/>
      </c>
      <c r="AF109" s="1" t="str">
        <f aca="false">IF($C109="","",VLOOKUP($C109,coefs!$A:$V,15,FALSE()))</f>
        <v/>
      </c>
      <c r="AG109" s="1" t="str">
        <f aca="false">IF($C109="","",VLOOKUP($C109,coefs!$A:$V,16,FALSE()))</f>
        <v/>
      </c>
      <c r="AH109" s="1" t="str">
        <f aca="false">IF($C109="","",VLOOKUP($C109,coefs!$A:$V,17,FALSE()))</f>
        <v/>
      </c>
      <c r="AI109" s="1" t="str">
        <f aca="false">IF($C109="","",VLOOKUP($C109,coefs!$A:$V,18,FALSE()))</f>
        <v/>
      </c>
      <c r="AJ109" s="1" t="str">
        <f aca="false">IF($C109="","",VLOOKUP($C109,coefs!$A:$V,19,FALSE()))</f>
        <v/>
      </c>
      <c r="AK109" s="1" t="str">
        <f aca="false">IF($C109="","",VLOOKUP($C109,coefs!$A:$V,20,FALSE()))</f>
        <v/>
      </c>
      <c r="AL109" s="1" t="str">
        <f aca="false">IF($C109="","",VLOOKUP($C109,coefs!$A:$V,21,FALSE()))</f>
        <v/>
      </c>
      <c r="AM109" s="1" t="str">
        <f aca="false">IF($C109="","",VLOOKUP($C109,coefs!$A:$V,22,FALSE()))</f>
        <v/>
      </c>
    </row>
    <row r="110" customFormat="false" ht="15" hidden="false" customHeight="true" outlineLevel="0" collapsed="false">
      <c r="A110" s="14"/>
      <c r="B110" s="14"/>
      <c r="C110" s="14"/>
      <c r="D110" s="15"/>
      <c r="E110" s="16"/>
      <c r="F110" s="16"/>
      <c r="G110" s="16"/>
      <c r="H110" s="17"/>
      <c r="I110" s="16"/>
      <c r="J110" s="16"/>
      <c r="K110" s="17"/>
      <c r="L110" s="17"/>
      <c r="M110" s="15" t="str">
        <f aca="false">IFERROR(IF(OR($C110="",$D110=""),"",IF($C110="Pinus pinaster",S110/(1+T110*EXP(-U110*$D110)),IF($C110="Quercus pyrenaica",S110*EXP(T110*EXP(-U110*$D110)),1.3+EXP(S110*EXP(-T110*$D110^(-U110)))))),"")</f>
        <v/>
      </c>
      <c r="N110" s="15" t="str">
        <f aca="false">IFERROR(IF($C110="Pinus sylvestris",IF(OR($D110="",$E110="",$F110=""),"",1.3+EXP((V110+W110*$E110)*EXP(-(X110+Y110*$F110)*$D110^(-(Z110+AA110*$E110))))),IF($C110="Pinus nigra",IF(OR($D110="",$E110="",$F110="",$J110=""),"",1.3+EXP((V110+W110*$J110)*EXP(-(X110+Y110*$F110)*$D110^(-(Z110+AA110*$E110))))),IF($C110="Pinus pinaster",IF(OR($D110="",$E110="",$H110="",$F110=""),"",(V110+W110*$E110)/(1+(X110+Y110*$H110)*EXP(-(Z110+AA110*$F110)*$D110))),IF($C110="Quercus pyrenaica",IF(OR($D110="",$E110="",$G110="",$J110=""),"",(V110+W110*$E110)*EXP((X110+Y110*$G110)*EXP(-(Z110+AA110*$J110)*$D110))),"")))),"")</f>
        <v/>
      </c>
      <c r="O110" s="15" t="str">
        <f aca="false">IFERROR(IF($C110="Pinus sylvestris",IF(OR($D110="",$H110="",$I110="",$J110=""),"",1.3+EXP((AB110+AC110*$H110)*EXP(-(AD110+AE110*$I110)*$D110^(-(AF110+AG110*$J110))))),IF($C110="Pinus nigra",IF(OR($D110="",$H110="",$L110="",$I110=""),"",1.3+EXP((AB110+AC110*$H110)*EXP(-(AD110+AE110*$L110)*$D110^(-(AF110+AG110*$I110))))),IF($C110="Pinus pinaster",IF(OR($D110="",$I110="",$K110=""),"",(AB110+AC110*$I110)/(1+(AD110+AE110*$K110)*EXP(-(AF110+AG110*$I110)*$D110))),IF($C110="Quercus pyrenaica",IF(OR($D110="",$L110="",$J110="",$I110=""),"",(AB110+AC110*$L110)*EXP((AD110+AE110*$J110)*EXP(-(AF110+AG110*$I110)*$D110))),"")))),"")</f>
        <v/>
      </c>
      <c r="P110" s="15" t="str">
        <f aca="false">IFERROR(IF(OR($C110="",$D110="",$E110="",$G110=""),"",1.3+(AH110+AI110*$E110-AJ110*$G110)*EXP(-AK110/SQRT($D110))),"")</f>
        <v/>
      </c>
      <c r="Q110" s="15" t="str">
        <f aca="false">IFERROR(IF(OR($C110="",$D110=""),"",1.3+AL110*(LN(1+$D110))^AM110),"")</f>
        <v/>
      </c>
      <c r="S110" s="1" t="str">
        <f aca="false">IF($C110="","",VLOOKUP($C110,coefs!$A:$V,2,FALSE()))</f>
        <v/>
      </c>
      <c r="T110" s="1" t="str">
        <f aca="false">IF($C110="","",VLOOKUP($C110,coefs!$A:$V,3,FALSE()))</f>
        <v/>
      </c>
      <c r="U110" s="1" t="str">
        <f aca="false">IF($C110="","",VLOOKUP($C110,coefs!$A:$V,4,FALSE()))</f>
        <v/>
      </c>
      <c r="V110" s="1" t="str">
        <f aca="false">IF($C110="","",VLOOKUP($C110,coefs!$A:$V,5,FALSE()))</f>
        <v/>
      </c>
      <c r="W110" s="1" t="str">
        <f aca="false">IF($C110="","",VLOOKUP($C110,coefs!$A:$V,6,FALSE()))</f>
        <v/>
      </c>
      <c r="X110" s="1" t="str">
        <f aca="false">IF($C110="","",VLOOKUP($C110,coefs!$A:$V,7,FALSE()))</f>
        <v/>
      </c>
      <c r="Y110" s="1" t="str">
        <f aca="false">IF($C110="","",VLOOKUP($C110,coefs!$A:$V,8,FALSE()))</f>
        <v/>
      </c>
      <c r="Z110" s="1" t="str">
        <f aca="false">IF($C110="","",VLOOKUP($C110,coefs!$A:$V,9,FALSE()))</f>
        <v/>
      </c>
      <c r="AA110" s="1" t="str">
        <f aca="false">IF($C110="","",VLOOKUP($C110,coefs!$A:$V,10,FALSE()))</f>
        <v/>
      </c>
      <c r="AB110" s="1" t="str">
        <f aca="false">IF($C110="","",VLOOKUP($C110,coefs!$A:$V,11,FALSE()))</f>
        <v/>
      </c>
      <c r="AC110" s="1" t="str">
        <f aca="false">IF($C110="","",VLOOKUP($C110,coefs!$A:$V,12,FALSE()))</f>
        <v/>
      </c>
      <c r="AD110" s="1" t="str">
        <f aca="false">IF($C110="","",VLOOKUP($C110,coefs!$A:$V,13,FALSE()))</f>
        <v/>
      </c>
      <c r="AE110" s="1" t="str">
        <f aca="false">IF($C110="","",VLOOKUP($C110,coefs!$A:$V,14,FALSE()))</f>
        <v/>
      </c>
      <c r="AF110" s="1" t="str">
        <f aca="false">IF($C110="","",VLOOKUP($C110,coefs!$A:$V,15,FALSE()))</f>
        <v/>
      </c>
      <c r="AG110" s="1" t="str">
        <f aca="false">IF($C110="","",VLOOKUP($C110,coefs!$A:$V,16,FALSE()))</f>
        <v/>
      </c>
      <c r="AH110" s="1" t="str">
        <f aca="false">IF($C110="","",VLOOKUP($C110,coefs!$A:$V,17,FALSE()))</f>
        <v/>
      </c>
      <c r="AI110" s="1" t="str">
        <f aca="false">IF($C110="","",VLOOKUP($C110,coefs!$A:$V,18,FALSE()))</f>
        <v/>
      </c>
      <c r="AJ110" s="1" t="str">
        <f aca="false">IF($C110="","",VLOOKUP($C110,coefs!$A:$V,19,FALSE()))</f>
        <v/>
      </c>
      <c r="AK110" s="1" t="str">
        <f aca="false">IF($C110="","",VLOOKUP($C110,coefs!$A:$V,20,FALSE()))</f>
        <v/>
      </c>
      <c r="AL110" s="1" t="str">
        <f aca="false">IF($C110="","",VLOOKUP($C110,coefs!$A:$V,21,FALSE()))</f>
        <v/>
      </c>
      <c r="AM110" s="1" t="str">
        <f aca="false">IF($C110="","",VLOOKUP($C110,coefs!$A:$V,22,FALSE()))</f>
        <v/>
      </c>
    </row>
    <row r="111" customFormat="false" ht="15" hidden="false" customHeight="true" outlineLevel="0" collapsed="false">
      <c r="A111" s="14"/>
      <c r="B111" s="14"/>
      <c r="C111" s="14"/>
      <c r="D111" s="15"/>
      <c r="E111" s="16"/>
      <c r="F111" s="16"/>
      <c r="G111" s="16"/>
      <c r="H111" s="17"/>
      <c r="I111" s="16"/>
      <c r="J111" s="16"/>
      <c r="K111" s="17"/>
      <c r="L111" s="17"/>
      <c r="M111" s="15" t="str">
        <f aca="false">IFERROR(IF(OR($C111="",$D111=""),"",IF($C111="Pinus pinaster",S111/(1+T111*EXP(-U111*$D111)),IF($C111="Quercus pyrenaica",S111*EXP(T111*EXP(-U111*$D111)),1.3+EXP(S111*EXP(-T111*$D111^(-U111)))))),"")</f>
        <v/>
      </c>
      <c r="N111" s="15" t="str">
        <f aca="false">IFERROR(IF($C111="Pinus sylvestris",IF(OR($D111="",$E111="",$F111=""),"",1.3+EXP((V111+W111*$E111)*EXP(-(X111+Y111*$F111)*$D111^(-(Z111+AA111*$E111))))),IF($C111="Pinus nigra",IF(OR($D111="",$E111="",$F111="",$J111=""),"",1.3+EXP((V111+W111*$J111)*EXP(-(X111+Y111*$F111)*$D111^(-(Z111+AA111*$E111))))),IF($C111="Pinus pinaster",IF(OR($D111="",$E111="",$H111="",$F111=""),"",(V111+W111*$E111)/(1+(X111+Y111*$H111)*EXP(-(Z111+AA111*$F111)*$D111))),IF($C111="Quercus pyrenaica",IF(OR($D111="",$E111="",$G111="",$J111=""),"",(V111+W111*$E111)*EXP((X111+Y111*$G111)*EXP(-(Z111+AA111*$J111)*$D111))),"")))),"")</f>
        <v/>
      </c>
      <c r="O111" s="15" t="str">
        <f aca="false">IFERROR(IF($C111="Pinus sylvestris",IF(OR($D111="",$H111="",$I111="",$J111=""),"",1.3+EXP((AB111+AC111*$H111)*EXP(-(AD111+AE111*$I111)*$D111^(-(AF111+AG111*$J111))))),IF($C111="Pinus nigra",IF(OR($D111="",$H111="",$L111="",$I111=""),"",1.3+EXP((AB111+AC111*$H111)*EXP(-(AD111+AE111*$L111)*$D111^(-(AF111+AG111*$I111))))),IF($C111="Pinus pinaster",IF(OR($D111="",$I111="",$K111=""),"",(AB111+AC111*$I111)/(1+(AD111+AE111*$K111)*EXP(-(AF111+AG111*$I111)*$D111))),IF($C111="Quercus pyrenaica",IF(OR($D111="",$L111="",$J111="",$I111=""),"",(AB111+AC111*$L111)*EXP((AD111+AE111*$J111)*EXP(-(AF111+AG111*$I111)*$D111))),"")))),"")</f>
        <v/>
      </c>
      <c r="P111" s="15" t="str">
        <f aca="false">IFERROR(IF(OR($C111="",$D111="",$E111="",$G111=""),"",1.3+(AH111+AI111*$E111-AJ111*$G111)*EXP(-AK111/SQRT($D111))),"")</f>
        <v/>
      </c>
      <c r="Q111" s="15" t="str">
        <f aca="false">IFERROR(IF(OR($C111="",$D111=""),"",1.3+AL111*(LN(1+$D111))^AM111),"")</f>
        <v/>
      </c>
      <c r="S111" s="1" t="str">
        <f aca="false">IF($C111="","",VLOOKUP($C111,coefs!$A:$V,2,FALSE()))</f>
        <v/>
      </c>
      <c r="T111" s="1" t="str">
        <f aca="false">IF($C111="","",VLOOKUP($C111,coefs!$A:$V,3,FALSE()))</f>
        <v/>
      </c>
      <c r="U111" s="1" t="str">
        <f aca="false">IF($C111="","",VLOOKUP($C111,coefs!$A:$V,4,FALSE()))</f>
        <v/>
      </c>
      <c r="V111" s="1" t="str">
        <f aca="false">IF($C111="","",VLOOKUP($C111,coefs!$A:$V,5,FALSE()))</f>
        <v/>
      </c>
      <c r="W111" s="1" t="str">
        <f aca="false">IF($C111="","",VLOOKUP($C111,coefs!$A:$V,6,FALSE()))</f>
        <v/>
      </c>
      <c r="X111" s="1" t="str">
        <f aca="false">IF($C111="","",VLOOKUP($C111,coefs!$A:$V,7,FALSE()))</f>
        <v/>
      </c>
      <c r="Y111" s="1" t="str">
        <f aca="false">IF($C111="","",VLOOKUP($C111,coefs!$A:$V,8,FALSE()))</f>
        <v/>
      </c>
      <c r="Z111" s="1" t="str">
        <f aca="false">IF($C111="","",VLOOKUP($C111,coefs!$A:$V,9,FALSE()))</f>
        <v/>
      </c>
      <c r="AA111" s="1" t="str">
        <f aca="false">IF($C111="","",VLOOKUP($C111,coefs!$A:$V,10,FALSE()))</f>
        <v/>
      </c>
      <c r="AB111" s="1" t="str">
        <f aca="false">IF($C111="","",VLOOKUP($C111,coefs!$A:$V,11,FALSE()))</f>
        <v/>
      </c>
      <c r="AC111" s="1" t="str">
        <f aca="false">IF($C111="","",VLOOKUP($C111,coefs!$A:$V,12,FALSE()))</f>
        <v/>
      </c>
      <c r="AD111" s="1" t="str">
        <f aca="false">IF($C111="","",VLOOKUP($C111,coefs!$A:$V,13,FALSE()))</f>
        <v/>
      </c>
      <c r="AE111" s="1" t="str">
        <f aca="false">IF($C111="","",VLOOKUP($C111,coefs!$A:$V,14,FALSE()))</f>
        <v/>
      </c>
      <c r="AF111" s="1" t="str">
        <f aca="false">IF($C111="","",VLOOKUP($C111,coefs!$A:$V,15,FALSE()))</f>
        <v/>
      </c>
      <c r="AG111" s="1" t="str">
        <f aca="false">IF($C111="","",VLOOKUP($C111,coefs!$A:$V,16,FALSE()))</f>
        <v/>
      </c>
      <c r="AH111" s="1" t="str">
        <f aca="false">IF($C111="","",VLOOKUP($C111,coefs!$A:$V,17,FALSE()))</f>
        <v/>
      </c>
      <c r="AI111" s="1" t="str">
        <f aca="false">IF($C111="","",VLOOKUP($C111,coefs!$A:$V,18,FALSE()))</f>
        <v/>
      </c>
      <c r="AJ111" s="1" t="str">
        <f aca="false">IF($C111="","",VLOOKUP($C111,coefs!$A:$V,19,FALSE()))</f>
        <v/>
      </c>
      <c r="AK111" s="1" t="str">
        <f aca="false">IF($C111="","",VLOOKUP($C111,coefs!$A:$V,20,FALSE()))</f>
        <v/>
      </c>
      <c r="AL111" s="1" t="str">
        <f aca="false">IF($C111="","",VLOOKUP($C111,coefs!$A:$V,21,FALSE()))</f>
        <v/>
      </c>
      <c r="AM111" s="1" t="str">
        <f aca="false">IF($C111="","",VLOOKUP($C111,coefs!$A:$V,22,FALSE()))</f>
        <v/>
      </c>
    </row>
    <row r="112" customFormat="false" ht="15" hidden="false" customHeight="true" outlineLevel="0" collapsed="false">
      <c r="A112" s="14"/>
      <c r="B112" s="14"/>
      <c r="C112" s="14"/>
      <c r="D112" s="15"/>
      <c r="E112" s="16"/>
      <c r="F112" s="16"/>
      <c r="G112" s="16"/>
      <c r="H112" s="17"/>
      <c r="I112" s="16"/>
      <c r="J112" s="16"/>
      <c r="K112" s="17"/>
      <c r="L112" s="17"/>
      <c r="M112" s="15" t="str">
        <f aca="false">IFERROR(IF(OR($C112="",$D112=""),"",IF($C112="Pinus pinaster",S112/(1+T112*EXP(-U112*$D112)),IF($C112="Quercus pyrenaica",S112*EXP(T112*EXP(-U112*$D112)),1.3+EXP(S112*EXP(-T112*$D112^(-U112)))))),"")</f>
        <v/>
      </c>
      <c r="N112" s="15" t="str">
        <f aca="false">IFERROR(IF($C112="Pinus sylvestris",IF(OR($D112="",$E112="",$F112=""),"",1.3+EXP((V112+W112*$E112)*EXP(-(X112+Y112*$F112)*$D112^(-(Z112+AA112*$E112))))),IF($C112="Pinus nigra",IF(OR($D112="",$E112="",$F112="",$J112=""),"",1.3+EXP((V112+W112*$J112)*EXP(-(X112+Y112*$F112)*$D112^(-(Z112+AA112*$E112))))),IF($C112="Pinus pinaster",IF(OR($D112="",$E112="",$H112="",$F112=""),"",(V112+W112*$E112)/(1+(X112+Y112*$H112)*EXP(-(Z112+AA112*$F112)*$D112))),IF($C112="Quercus pyrenaica",IF(OR($D112="",$E112="",$G112="",$J112=""),"",(V112+W112*$E112)*EXP((X112+Y112*$G112)*EXP(-(Z112+AA112*$J112)*$D112))),"")))),"")</f>
        <v/>
      </c>
      <c r="O112" s="15" t="str">
        <f aca="false">IFERROR(IF($C112="Pinus sylvestris",IF(OR($D112="",$H112="",$I112="",$J112=""),"",1.3+EXP((AB112+AC112*$H112)*EXP(-(AD112+AE112*$I112)*$D112^(-(AF112+AG112*$J112))))),IF($C112="Pinus nigra",IF(OR($D112="",$H112="",$L112="",$I112=""),"",1.3+EXP((AB112+AC112*$H112)*EXP(-(AD112+AE112*$L112)*$D112^(-(AF112+AG112*$I112))))),IF($C112="Pinus pinaster",IF(OR($D112="",$I112="",$K112=""),"",(AB112+AC112*$I112)/(1+(AD112+AE112*$K112)*EXP(-(AF112+AG112*$I112)*$D112))),IF($C112="Quercus pyrenaica",IF(OR($D112="",$L112="",$J112="",$I112=""),"",(AB112+AC112*$L112)*EXP((AD112+AE112*$J112)*EXP(-(AF112+AG112*$I112)*$D112))),"")))),"")</f>
        <v/>
      </c>
      <c r="P112" s="15" t="str">
        <f aca="false">IFERROR(IF(OR($C112="",$D112="",$E112="",$G112=""),"",1.3+(AH112+AI112*$E112-AJ112*$G112)*EXP(-AK112/SQRT($D112))),"")</f>
        <v/>
      </c>
      <c r="Q112" s="15" t="str">
        <f aca="false">IFERROR(IF(OR($C112="",$D112=""),"",1.3+AL112*(LN(1+$D112))^AM112),"")</f>
        <v/>
      </c>
      <c r="S112" s="1" t="str">
        <f aca="false">IF($C112="","",VLOOKUP($C112,coefs!$A:$V,2,FALSE()))</f>
        <v/>
      </c>
      <c r="T112" s="1" t="str">
        <f aca="false">IF($C112="","",VLOOKUP($C112,coefs!$A:$V,3,FALSE()))</f>
        <v/>
      </c>
      <c r="U112" s="1" t="str">
        <f aca="false">IF($C112="","",VLOOKUP($C112,coefs!$A:$V,4,FALSE()))</f>
        <v/>
      </c>
      <c r="V112" s="1" t="str">
        <f aca="false">IF($C112="","",VLOOKUP($C112,coefs!$A:$V,5,FALSE()))</f>
        <v/>
      </c>
      <c r="W112" s="1" t="str">
        <f aca="false">IF($C112="","",VLOOKUP($C112,coefs!$A:$V,6,FALSE()))</f>
        <v/>
      </c>
      <c r="X112" s="1" t="str">
        <f aca="false">IF($C112="","",VLOOKUP($C112,coefs!$A:$V,7,FALSE()))</f>
        <v/>
      </c>
      <c r="Y112" s="1" t="str">
        <f aca="false">IF($C112="","",VLOOKUP($C112,coefs!$A:$V,8,FALSE()))</f>
        <v/>
      </c>
      <c r="Z112" s="1" t="str">
        <f aca="false">IF($C112="","",VLOOKUP($C112,coefs!$A:$V,9,FALSE()))</f>
        <v/>
      </c>
      <c r="AA112" s="1" t="str">
        <f aca="false">IF($C112="","",VLOOKUP($C112,coefs!$A:$V,10,FALSE()))</f>
        <v/>
      </c>
      <c r="AB112" s="1" t="str">
        <f aca="false">IF($C112="","",VLOOKUP($C112,coefs!$A:$V,11,FALSE()))</f>
        <v/>
      </c>
      <c r="AC112" s="1" t="str">
        <f aca="false">IF($C112="","",VLOOKUP($C112,coefs!$A:$V,12,FALSE()))</f>
        <v/>
      </c>
      <c r="AD112" s="1" t="str">
        <f aca="false">IF($C112="","",VLOOKUP($C112,coefs!$A:$V,13,FALSE()))</f>
        <v/>
      </c>
      <c r="AE112" s="1" t="str">
        <f aca="false">IF($C112="","",VLOOKUP($C112,coefs!$A:$V,14,FALSE()))</f>
        <v/>
      </c>
      <c r="AF112" s="1" t="str">
        <f aca="false">IF($C112="","",VLOOKUP($C112,coefs!$A:$V,15,FALSE()))</f>
        <v/>
      </c>
      <c r="AG112" s="1" t="str">
        <f aca="false">IF($C112="","",VLOOKUP($C112,coefs!$A:$V,16,FALSE()))</f>
        <v/>
      </c>
      <c r="AH112" s="1" t="str">
        <f aca="false">IF($C112="","",VLOOKUP($C112,coefs!$A:$V,17,FALSE()))</f>
        <v/>
      </c>
      <c r="AI112" s="1" t="str">
        <f aca="false">IF($C112="","",VLOOKUP($C112,coefs!$A:$V,18,FALSE()))</f>
        <v/>
      </c>
      <c r="AJ112" s="1" t="str">
        <f aca="false">IF($C112="","",VLOOKUP($C112,coefs!$A:$V,19,FALSE()))</f>
        <v/>
      </c>
      <c r="AK112" s="1" t="str">
        <f aca="false">IF($C112="","",VLOOKUP($C112,coefs!$A:$V,20,FALSE()))</f>
        <v/>
      </c>
      <c r="AL112" s="1" t="str">
        <f aca="false">IF($C112="","",VLOOKUP($C112,coefs!$A:$V,21,FALSE()))</f>
        <v/>
      </c>
      <c r="AM112" s="1" t="str">
        <f aca="false">IF($C112="","",VLOOKUP($C112,coefs!$A:$V,22,FALSE()))</f>
        <v/>
      </c>
    </row>
    <row r="113" customFormat="false" ht="15" hidden="false" customHeight="true" outlineLevel="0" collapsed="false">
      <c r="A113" s="14"/>
      <c r="B113" s="14"/>
      <c r="C113" s="14"/>
      <c r="D113" s="15"/>
      <c r="E113" s="16"/>
      <c r="F113" s="16"/>
      <c r="G113" s="16"/>
      <c r="H113" s="17"/>
      <c r="I113" s="16"/>
      <c r="J113" s="16"/>
      <c r="K113" s="17"/>
      <c r="L113" s="17"/>
      <c r="M113" s="15" t="str">
        <f aca="false">IFERROR(IF(OR($C113="",$D113=""),"",IF($C113="Pinus pinaster",S113/(1+T113*EXP(-U113*$D113)),IF($C113="Quercus pyrenaica",S113*EXP(T113*EXP(-U113*$D113)),1.3+EXP(S113*EXP(-T113*$D113^(-U113)))))),"")</f>
        <v/>
      </c>
      <c r="N113" s="15" t="str">
        <f aca="false">IFERROR(IF($C113="Pinus sylvestris",IF(OR($D113="",$E113="",$F113=""),"",1.3+EXP((V113+W113*$E113)*EXP(-(X113+Y113*$F113)*$D113^(-(Z113+AA113*$E113))))),IF($C113="Pinus nigra",IF(OR($D113="",$E113="",$F113="",$J113=""),"",1.3+EXP((V113+W113*$J113)*EXP(-(X113+Y113*$F113)*$D113^(-(Z113+AA113*$E113))))),IF($C113="Pinus pinaster",IF(OR($D113="",$E113="",$H113="",$F113=""),"",(V113+W113*$E113)/(1+(X113+Y113*$H113)*EXP(-(Z113+AA113*$F113)*$D113))),IF($C113="Quercus pyrenaica",IF(OR($D113="",$E113="",$G113="",$J113=""),"",(V113+W113*$E113)*EXP((X113+Y113*$G113)*EXP(-(Z113+AA113*$J113)*$D113))),"")))),"")</f>
        <v/>
      </c>
      <c r="O113" s="15" t="str">
        <f aca="false">IFERROR(IF($C113="Pinus sylvestris",IF(OR($D113="",$H113="",$I113="",$J113=""),"",1.3+EXP((AB113+AC113*$H113)*EXP(-(AD113+AE113*$I113)*$D113^(-(AF113+AG113*$J113))))),IF($C113="Pinus nigra",IF(OR($D113="",$H113="",$L113="",$I113=""),"",1.3+EXP((AB113+AC113*$H113)*EXP(-(AD113+AE113*$L113)*$D113^(-(AF113+AG113*$I113))))),IF($C113="Pinus pinaster",IF(OR($D113="",$I113="",$K113=""),"",(AB113+AC113*$I113)/(1+(AD113+AE113*$K113)*EXP(-(AF113+AG113*$I113)*$D113))),IF($C113="Quercus pyrenaica",IF(OR($D113="",$L113="",$J113="",$I113=""),"",(AB113+AC113*$L113)*EXP((AD113+AE113*$J113)*EXP(-(AF113+AG113*$I113)*$D113))),"")))),"")</f>
        <v/>
      </c>
      <c r="P113" s="15" t="str">
        <f aca="false">IFERROR(IF(OR($C113="",$D113="",$E113="",$G113=""),"",1.3+(AH113+AI113*$E113-AJ113*$G113)*EXP(-AK113/SQRT($D113))),"")</f>
        <v/>
      </c>
      <c r="Q113" s="15" t="str">
        <f aca="false">IFERROR(IF(OR($C113="",$D113=""),"",1.3+AL113*(LN(1+$D113))^AM113),"")</f>
        <v/>
      </c>
      <c r="S113" s="1" t="str">
        <f aca="false">IF($C113="","",VLOOKUP($C113,coefs!$A:$V,2,FALSE()))</f>
        <v/>
      </c>
      <c r="T113" s="1" t="str">
        <f aca="false">IF($C113="","",VLOOKUP($C113,coefs!$A:$V,3,FALSE()))</f>
        <v/>
      </c>
      <c r="U113" s="1" t="str">
        <f aca="false">IF($C113="","",VLOOKUP($C113,coefs!$A:$V,4,FALSE()))</f>
        <v/>
      </c>
      <c r="V113" s="1" t="str">
        <f aca="false">IF($C113="","",VLOOKUP($C113,coefs!$A:$V,5,FALSE()))</f>
        <v/>
      </c>
      <c r="W113" s="1" t="str">
        <f aca="false">IF($C113="","",VLOOKUP($C113,coefs!$A:$V,6,FALSE()))</f>
        <v/>
      </c>
      <c r="X113" s="1" t="str">
        <f aca="false">IF($C113="","",VLOOKUP($C113,coefs!$A:$V,7,FALSE()))</f>
        <v/>
      </c>
      <c r="Y113" s="1" t="str">
        <f aca="false">IF($C113="","",VLOOKUP($C113,coefs!$A:$V,8,FALSE()))</f>
        <v/>
      </c>
      <c r="Z113" s="1" t="str">
        <f aca="false">IF($C113="","",VLOOKUP($C113,coefs!$A:$V,9,FALSE()))</f>
        <v/>
      </c>
      <c r="AA113" s="1" t="str">
        <f aca="false">IF($C113="","",VLOOKUP($C113,coefs!$A:$V,10,FALSE()))</f>
        <v/>
      </c>
      <c r="AB113" s="1" t="str">
        <f aca="false">IF($C113="","",VLOOKUP($C113,coefs!$A:$V,11,FALSE()))</f>
        <v/>
      </c>
      <c r="AC113" s="1" t="str">
        <f aca="false">IF($C113="","",VLOOKUP($C113,coefs!$A:$V,12,FALSE()))</f>
        <v/>
      </c>
      <c r="AD113" s="1" t="str">
        <f aca="false">IF($C113="","",VLOOKUP($C113,coefs!$A:$V,13,FALSE()))</f>
        <v/>
      </c>
      <c r="AE113" s="1" t="str">
        <f aca="false">IF($C113="","",VLOOKUP($C113,coefs!$A:$V,14,FALSE()))</f>
        <v/>
      </c>
      <c r="AF113" s="1" t="str">
        <f aca="false">IF($C113="","",VLOOKUP($C113,coefs!$A:$V,15,FALSE()))</f>
        <v/>
      </c>
      <c r="AG113" s="1" t="str">
        <f aca="false">IF($C113="","",VLOOKUP($C113,coefs!$A:$V,16,FALSE()))</f>
        <v/>
      </c>
      <c r="AH113" s="1" t="str">
        <f aca="false">IF($C113="","",VLOOKUP($C113,coefs!$A:$V,17,FALSE()))</f>
        <v/>
      </c>
      <c r="AI113" s="1" t="str">
        <f aca="false">IF($C113="","",VLOOKUP($C113,coefs!$A:$V,18,FALSE()))</f>
        <v/>
      </c>
      <c r="AJ113" s="1" t="str">
        <f aca="false">IF($C113="","",VLOOKUP($C113,coefs!$A:$V,19,FALSE()))</f>
        <v/>
      </c>
      <c r="AK113" s="1" t="str">
        <f aca="false">IF($C113="","",VLOOKUP($C113,coefs!$A:$V,20,FALSE()))</f>
        <v/>
      </c>
      <c r="AL113" s="1" t="str">
        <f aca="false">IF($C113="","",VLOOKUP($C113,coefs!$A:$V,21,FALSE()))</f>
        <v/>
      </c>
      <c r="AM113" s="1" t="str">
        <f aca="false">IF($C113="","",VLOOKUP($C113,coefs!$A:$V,22,FALSE()))</f>
        <v/>
      </c>
    </row>
    <row r="114" customFormat="false" ht="15" hidden="false" customHeight="true" outlineLevel="0" collapsed="false">
      <c r="A114" s="14"/>
      <c r="B114" s="14"/>
      <c r="C114" s="14"/>
      <c r="D114" s="15"/>
      <c r="E114" s="16"/>
      <c r="F114" s="16"/>
      <c r="G114" s="16"/>
      <c r="H114" s="17"/>
      <c r="I114" s="16"/>
      <c r="J114" s="16"/>
      <c r="K114" s="17"/>
      <c r="L114" s="17"/>
      <c r="M114" s="15" t="str">
        <f aca="false">IFERROR(IF(OR($C114="",$D114=""),"",IF($C114="Pinus pinaster",S114/(1+T114*EXP(-U114*$D114)),IF($C114="Quercus pyrenaica",S114*EXP(T114*EXP(-U114*$D114)),1.3+EXP(S114*EXP(-T114*$D114^(-U114)))))),"")</f>
        <v/>
      </c>
      <c r="N114" s="15" t="str">
        <f aca="false">IFERROR(IF($C114="Pinus sylvestris",IF(OR($D114="",$E114="",$F114=""),"",1.3+EXP((V114+W114*$E114)*EXP(-(X114+Y114*$F114)*$D114^(-(Z114+AA114*$E114))))),IF($C114="Pinus nigra",IF(OR($D114="",$E114="",$F114="",$J114=""),"",1.3+EXP((V114+W114*$J114)*EXP(-(X114+Y114*$F114)*$D114^(-(Z114+AA114*$E114))))),IF($C114="Pinus pinaster",IF(OR($D114="",$E114="",$H114="",$F114=""),"",(V114+W114*$E114)/(1+(X114+Y114*$H114)*EXP(-(Z114+AA114*$F114)*$D114))),IF($C114="Quercus pyrenaica",IF(OR($D114="",$E114="",$G114="",$J114=""),"",(V114+W114*$E114)*EXP((X114+Y114*$G114)*EXP(-(Z114+AA114*$J114)*$D114))),"")))),"")</f>
        <v/>
      </c>
      <c r="O114" s="15" t="str">
        <f aca="false">IFERROR(IF($C114="Pinus sylvestris",IF(OR($D114="",$H114="",$I114="",$J114=""),"",1.3+EXP((AB114+AC114*$H114)*EXP(-(AD114+AE114*$I114)*$D114^(-(AF114+AG114*$J114))))),IF($C114="Pinus nigra",IF(OR($D114="",$H114="",$L114="",$I114=""),"",1.3+EXP((AB114+AC114*$H114)*EXP(-(AD114+AE114*$L114)*$D114^(-(AF114+AG114*$I114))))),IF($C114="Pinus pinaster",IF(OR($D114="",$I114="",$K114=""),"",(AB114+AC114*$I114)/(1+(AD114+AE114*$K114)*EXP(-(AF114+AG114*$I114)*$D114))),IF($C114="Quercus pyrenaica",IF(OR($D114="",$L114="",$J114="",$I114=""),"",(AB114+AC114*$L114)*EXP((AD114+AE114*$J114)*EXP(-(AF114+AG114*$I114)*$D114))),"")))),"")</f>
        <v/>
      </c>
      <c r="P114" s="15" t="str">
        <f aca="false">IFERROR(IF(OR($C114="",$D114="",$E114="",$G114=""),"",1.3+(AH114+AI114*$E114-AJ114*$G114)*EXP(-AK114/SQRT($D114))),"")</f>
        <v/>
      </c>
      <c r="Q114" s="15" t="str">
        <f aca="false">IFERROR(IF(OR($C114="",$D114=""),"",1.3+AL114*(LN(1+$D114))^AM114),"")</f>
        <v/>
      </c>
      <c r="S114" s="1" t="str">
        <f aca="false">IF($C114="","",VLOOKUP($C114,coefs!$A:$V,2,FALSE()))</f>
        <v/>
      </c>
      <c r="T114" s="1" t="str">
        <f aca="false">IF($C114="","",VLOOKUP($C114,coefs!$A:$V,3,FALSE()))</f>
        <v/>
      </c>
      <c r="U114" s="1" t="str">
        <f aca="false">IF($C114="","",VLOOKUP($C114,coefs!$A:$V,4,FALSE()))</f>
        <v/>
      </c>
      <c r="V114" s="1" t="str">
        <f aca="false">IF($C114="","",VLOOKUP($C114,coefs!$A:$V,5,FALSE()))</f>
        <v/>
      </c>
      <c r="W114" s="1" t="str">
        <f aca="false">IF($C114="","",VLOOKUP($C114,coefs!$A:$V,6,FALSE()))</f>
        <v/>
      </c>
      <c r="X114" s="1" t="str">
        <f aca="false">IF($C114="","",VLOOKUP($C114,coefs!$A:$V,7,FALSE()))</f>
        <v/>
      </c>
      <c r="Y114" s="1" t="str">
        <f aca="false">IF($C114="","",VLOOKUP($C114,coefs!$A:$V,8,FALSE()))</f>
        <v/>
      </c>
      <c r="Z114" s="1" t="str">
        <f aca="false">IF($C114="","",VLOOKUP($C114,coefs!$A:$V,9,FALSE()))</f>
        <v/>
      </c>
      <c r="AA114" s="1" t="str">
        <f aca="false">IF($C114="","",VLOOKUP($C114,coefs!$A:$V,10,FALSE()))</f>
        <v/>
      </c>
      <c r="AB114" s="1" t="str">
        <f aca="false">IF($C114="","",VLOOKUP($C114,coefs!$A:$V,11,FALSE()))</f>
        <v/>
      </c>
      <c r="AC114" s="1" t="str">
        <f aca="false">IF($C114="","",VLOOKUP($C114,coefs!$A:$V,12,FALSE()))</f>
        <v/>
      </c>
      <c r="AD114" s="1" t="str">
        <f aca="false">IF($C114="","",VLOOKUP($C114,coefs!$A:$V,13,FALSE()))</f>
        <v/>
      </c>
      <c r="AE114" s="1" t="str">
        <f aca="false">IF($C114="","",VLOOKUP($C114,coefs!$A:$V,14,FALSE()))</f>
        <v/>
      </c>
      <c r="AF114" s="1" t="str">
        <f aca="false">IF($C114="","",VLOOKUP($C114,coefs!$A:$V,15,FALSE()))</f>
        <v/>
      </c>
      <c r="AG114" s="1" t="str">
        <f aca="false">IF($C114="","",VLOOKUP($C114,coefs!$A:$V,16,FALSE()))</f>
        <v/>
      </c>
      <c r="AH114" s="1" t="str">
        <f aca="false">IF($C114="","",VLOOKUP($C114,coefs!$A:$V,17,FALSE()))</f>
        <v/>
      </c>
      <c r="AI114" s="1" t="str">
        <f aca="false">IF($C114="","",VLOOKUP($C114,coefs!$A:$V,18,FALSE()))</f>
        <v/>
      </c>
      <c r="AJ114" s="1" t="str">
        <f aca="false">IF($C114="","",VLOOKUP($C114,coefs!$A:$V,19,FALSE()))</f>
        <v/>
      </c>
      <c r="AK114" s="1" t="str">
        <f aca="false">IF($C114="","",VLOOKUP($C114,coefs!$A:$V,20,FALSE()))</f>
        <v/>
      </c>
      <c r="AL114" s="1" t="str">
        <f aca="false">IF($C114="","",VLOOKUP($C114,coefs!$A:$V,21,FALSE()))</f>
        <v/>
      </c>
      <c r="AM114" s="1" t="str">
        <f aca="false">IF($C114="","",VLOOKUP($C114,coefs!$A:$V,22,FALSE()))</f>
        <v/>
      </c>
    </row>
    <row r="115" customFormat="false" ht="15" hidden="false" customHeight="true" outlineLevel="0" collapsed="false">
      <c r="A115" s="14"/>
      <c r="B115" s="14"/>
      <c r="C115" s="14"/>
      <c r="D115" s="15"/>
      <c r="E115" s="16"/>
      <c r="F115" s="16"/>
      <c r="G115" s="16"/>
      <c r="H115" s="17"/>
      <c r="I115" s="16"/>
      <c r="J115" s="16"/>
      <c r="K115" s="17"/>
      <c r="L115" s="17"/>
      <c r="M115" s="15" t="str">
        <f aca="false">IFERROR(IF(OR($C115="",$D115=""),"",IF($C115="Pinus pinaster",S115/(1+T115*EXP(-U115*$D115)),IF($C115="Quercus pyrenaica",S115*EXP(T115*EXP(-U115*$D115)),1.3+EXP(S115*EXP(-T115*$D115^(-U115)))))),"")</f>
        <v/>
      </c>
      <c r="N115" s="15" t="str">
        <f aca="false">IFERROR(IF($C115="Pinus sylvestris",IF(OR($D115="",$E115="",$F115=""),"",1.3+EXP((V115+W115*$E115)*EXP(-(X115+Y115*$F115)*$D115^(-(Z115+AA115*$E115))))),IF($C115="Pinus nigra",IF(OR($D115="",$E115="",$F115="",$J115=""),"",1.3+EXP((V115+W115*$J115)*EXP(-(X115+Y115*$F115)*$D115^(-(Z115+AA115*$E115))))),IF($C115="Pinus pinaster",IF(OR($D115="",$E115="",$H115="",$F115=""),"",(V115+W115*$E115)/(1+(X115+Y115*$H115)*EXP(-(Z115+AA115*$F115)*$D115))),IF($C115="Quercus pyrenaica",IF(OR($D115="",$E115="",$G115="",$J115=""),"",(V115+W115*$E115)*EXP((X115+Y115*$G115)*EXP(-(Z115+AA115*$J115)*$D115))),"")))),"")</f>
        <v/>
      </c>
      <c r="O115" s="15" t="str">
        <f aca="false">IFERROR(IF($C115="Pinus sylvestris",IF(OR($D115="",$H115="",$I115="",$J115=""),"",1.3+EXP((AB115+AC115*$H115)*EXP(-(AD115+AE115*$I115)*$D115^(-(AF115+AG115*$J115))))),IF($C115="Pinus nigra",IF(OR($D115="",$H115="",$L115="",$I115=""),"",1.3+EXP((AB115+AC115*$H115)*EXP(-(AD115+AE115*$L115)*$D115^(-(AF115+AG115*$I115))))),IF($C115="Pinus pinaster",IF(OR($D115="",$I115="",$K115=""),"",(AB115+AC115*$I115)/(1+(AD115+AE115*$K115)*EXP(-(AF115+AG115*$I115)*$D115))),IF($C115="Quercus pyrenaica",IF(OR($D115="",$L115="",$J115="",$I115=""),"",(AB115+AC115*$L115)*EXP((AD115+AE115*$J115)*EXP(-(AF115+AG115*$I115)*$D115))),"")))),"")</f>
        <v/>
      </c>
      <c r="P115" s="15" t="str">
        <f aca="false">IFERROR(IF(OR($C115="",$D115="",$E115="",$G115=""),"",1.3+(AH115+AI115*$E115-AJ115*$G115)*EXP(-AK115/SQRT($D115))),"")</f>
        <v/>
      </c>
      <c r="Q115" s="15" t="str">
        <f aca="false">IFERROR(IF(OR($C115="",$D115=""),"",1.3+AL115*(LN(1+$D115))^AM115),"")</f>
        <v/>
      </c>
      <c r="S115" s="1" t="str">
        <f aca="false">IF($C115="","",VLOOKUP($C115,coefs!$A:$V,2,FALSE()))</f>
        <v/>
      </c>
      <c r="T115" s="1" t="str">
        <f aca="false">IF($C115="","",VLOOKUP($C115,coefs!$A:$V,3,FALSE()))</f>
        <v/>
      </c>
      <c r="U115" s="1" t="str">
        <f aca="false">IF($C115="","",VLOOKUP($C115,coefs!$A:$V,4,FALSE()))</f>
        <v/>
      </c>
      <c r="V115" s="1" t="str">
        <f aca="false">IF($C115="","",VLOOKUP($C115,coefs!$A:$V,5,FALSE()))</f>
        <v/>
      </c>
      <c r="W115" s="1" t="str">
        <f aca="false">IF($C115="","",VLOOKUP($C115,coefs!$A:$V,6,FALSE()))</f>
        <v/>
      </c>
      <c r="X115" s="1" t="str">
        <f aca="false">IF($C115="","",VLOOKUP($C115,coefs!$A:$V,7,FALSE()))</f>
        <v/>
      </c>
      <c r="Y115" s="1" t="str">
        <f aca="false">IF($C115="","",VLOOKUP($C115,coefs!$A:$V,8,FALSE()))</f>
        <v/>
      </c>
      <c r="Z115" s="1" t="str">
        <f aca="false">IF($C115="","",VLOOKUP($C115,coefs!$A:$V,9,FALSE()))</f>
        <v/>
      </c>
      <c r="AA115" s="1" t="str">
        <f aca="false">IF($C115="","",VLOOKUP($C115,coefs!$A:$V,10,FALSE()))</f>
        <v/>
      </c>
      <c r="AB115" s="1" t="str">
        <f aca="false">IF($C115="","",VLOOKUP($C115,coefs!$A:$V,11,FALSE()))</f>
        <v/>
      </c>
      <c r="AC115" s="1" t="str">
        <f aca="false">IF($C115="","",VLOOKUP($C115,coefs!$A:$V,12,FALSE()))</f>
        <v/>
      </c>
      <c r="AD115" s="1" t="str">
        <f aca="false">IF($C115="","",VLOOKUP($C115,coefs!$A:$V,13,FALSE()))</f>
        <v/>
      </c>
      <c r="AE115" s="1" t="str">
        <f aca="false">IF($C115="","",VLOOKUP($C115,coefs!$A:$V,14,FALSE()))</f>
        <v/>
      </c>
      <c r="AF115" s="1" t="str">
        <f aca="false">IF($C115="","",VLOOKUP($C115,coefs!$A:$V,15,FALSE()))</f>
        <v/>
      </c>
      <c r="AG115" s="1" t="str">
        <f aca="false">IF($C115="","",VLOOKUP($C115,coefs!$A:$V,16,FALSE()))</f>
        <v/>
      </c>
      <c r="AH115" s="1" t="str">
        <f aca="false">IF($C115="","",VLOOKUP($C115,coefs!$A:$V,17,FALSE()))</f>
        <v/>
      </c>
      <c r="AI115" s="1" t="str">
        <f aca="false">IF($C115="","",VLOOKUP($C115,coefs!$A:$V,18,FALSE()))</f>
        <v/>
      </c>
      <c r="AJ115" s="1" t="str">
        <f aca="false">IF($C115="","",VLOOKUP($C115,coefs!$A:$V,19,FALSE()))</f>
        <v/>
      </c>
      <c r="AK115" s="1" t="str">
        <f aca="false">IF($C115="","",VLOOKUP($C115,coefs!$A:$V,20,FALSE()))</f>
        <v/>
      </c>
      <c r="AL115" s="1" t="str">
        <f aca="false">IF($C115="","",VLOOKUP($C115,coefs!$A:$V,21,FALSE()))</f>
        <v/>
      </c>
      <c r="AM115" s="1" t="str">
        <f aca="false">IF($C115="","",VLOOKUP($C115,coefs!$A:$V,22,FALSE()))</f>
        <v/>
      </c>
    </row>
    <row r="116" customFormat="false" ht="15" hidden="false" customHeight="true" outlineLevel="0" collapsed="false">
      <c r="A116" s="14"/>
      <c r="B116" s="14"/>
      <c r="C116" s="14"/>
      <c r="D116" s="15"/>
      <c r="E116" s="16"/>
      <c r="F116" s="16"/>
      <c r="G116" s="16"/>
      <c r="H116" s="17"/>
      <c r="I116" s="16"/>
      <c r="J116" s="16"/>
      <c r="K116" s="17"/>
      <c r="L116" s="17"/>
      <c r="M116" s="15" t="str">
        <f aca="false">IFERROR(IF(OR($C116="",$D116=""),"",IF($C116="Pinus pinaster",S116/(1+T116*EXP(-U116*$D116)),IF($C116="Quercus pyrenaica",S116*EXP(T116*EXP(-U116*$D116)),1.3+EXP(S116*EXP(-T116*$D116^(-U116)))))),"")</f>
        <v/>
      </c>
      <c r="N116" s="15" t="str">
        <f aca="false">IFERROR(IF($C116="Pinus sylvestris",IF(OR($D116="",$E116="",$F116=""),"",1.3+EXP((V116+W116*$E116)*EXP(-(X116+Y116*$F116)*$D116^(-(Z116+AA116*$E116))))),IF($C116="Pinus nigra",IF(OR($D116="",$E116="",$F116="",$J116=""),"",1.3+EXP((V116+W116*$J116)*EXP(-(X116+Y116*$F116)*$D116^(-(Z116+AA116*$E116))))),IF($C116="Pinus pinaster",IF(OR($D116="",$E116="",$H116="",$F116=""),"",(V116+W116*$E116)/(1+(X116+Y116*$H116)*EXP(-(Z116+AA116*$F116)*$D116))),IF($C116="Quercus pyrenaica",IF(OR($D116="",$E116="",$G116="",$J116=""),"",(V116+W116*$E116)*EXP((X116+Y116*$G116)*EXP(-(Z116+AA116*$J116)*$D116))),"")))),"")</f>
        <v/>
      </c>
      <c r="O116" s="15" t="str">
        <f aca="false">IFERROR(IF($C116="Pinus sylvestris",IF(OR($D116="",$H116="",$I116="",$J116=""),"",1.3+EXP((AB116+AC116*$H116)*EXP(-(AD116+AE116*$I116)*$D116^(-(AF116+AG116*$J116))))),IF($C116="Pinus nigra",IF(OR($D116="",$H116="",$L116="",$I116=""),"",1.3+EXP((AB116+AC116*$H116)*EXP(-(AD116+AE116*$L116)*$D116^(-(AF116+AG116*$I116))))),IF($C116="Pinus pinaster",IF(OR($D116="",$I116="",$K116=""),"",(AB116+AC116*$I116)/(1+(AD116+AE116*$K116)*EXP(-(AF116+AG116*$I116)*$D116))),IF($C116="Quercus pyrenaica",IF(OR($D116="",$L116="",$J116="",$I116=""),"",(AB116+AC116*$L116)*EXP((AD116+AE116*$J116)*EXP(-(AF116+AG116*$I116)*$D116))),"")))),"")</f>
        <v/>
      </c>
      <c r="P116" s="15" t="str">
        <f aca="false">IFERROR(IF(OR($C116="",$D116="",$E116="",$G116=""),"",1.3+(AH116+AI116*$E116-AJ116*$G116)*EXP(-AK116/SQRT($D116))),"")</f>
        <v/>
      </c>
      <c r="Q116" s="15" t="str">
        <f aca="false">IFERROR(IF(OR($C116="",$D116=""),"",1.3+AL116*(LN(1+$D116))^AM116),"")</f>
        <v/>
      </c>
      <c r="S116" s="1" t="str">
        <f aca="false">IF($C116="","",VLOOKUP($C116,coefs!$A:$V,2,FALSE()))</f>
        <v/>
      </c>
      <c r="T116" s="1" t="str">
        <f aca="false">IF($C116="","",VLOOKUP($C116,coefs!$A:$V,3,FALSE()))</f>
        <v/>
      </c>
      <c r="U116" s="1" t="str">
        <f aca="false">IF($C116="","",VLOOKUP($C116,coefs!$A:$V,4,FALSE()))</f>
        <v/>
      </c>
      <c r="V116" s="1" t="str">
        <f aca="false">IF($C116="","",VLOOKUP($C116,coefs!$A:$V,5,FALSE()))</f>
        <v/>
      </c>
      <c r="W116" s="1" t="str">
        <f aca="false">IF($C116="","",VLOOKUP($C116,coefs!$A:$V,6,FALSE()))</f>
        <v/>
      </c>
      <c r="X116" s="1" t="str">
        <f aca="false">IF($C116="","",VLOOKUP($C116,coefs!$A:$V,7,FALSE()))</f>
        <v/>
      </c>
      <c r="Y116" s="1" t="str">
        <f aca="false">IF($C116="","",VLOOKUP($C116,coefs!$A:$V,8,FALSE()))</f>
        <v/>
      </c>
      <c r="Z116" s="1" t="str">
        <f aca="false">IF($C116="","",VLOOKUP($C116,coefs!$A:$V,9,FALSE()))</f>
        <v/>
      </c>
      <c r="AA116" s="1" t="str">
        <f aca="false">IF($C116="","",VLOOKUP($C116,coefs!$A:$V,10,FALSE()))</f>
        <v/>
      </c>
      <c r="AB116" s="1" t="str">
        <f aca="false">IF($C116="","",VLOOKUP($C116,coefs!$A:$V,11,FALSE()))</f>
        <v/>
      </c>
      <c r="AC116" s="1" t="str">
        <f aca="false">IF($C116="","",VLOOKUP($C116,coefs!$A:$V,12,FALSE()))</f>
        <v/>
      </c>
      <c r="AD116" s="1" t="str">
        <f aca="false">IF($C116="","",VLOOKUP($C116,coefs!$A:$V,13,FALSE()))</f>
        <v/>
      </c>
      <c r="AE116" s="1" t="str">
        <f aca="false">IF($C116="","",VLOOKUP($C116,coefs!$A:$V,14,FALSE()))</f>
        <v/>
      </c>
      <c r="AF116" s="1" t="str">
        <f aca="false">IF($C116="","",VLOOKUP($C116,coefs!$A:$V,15,FALSE()))</f>
        <v/>
      </c>
      <c r="AG116" s="1" t="str">
        <f aca="false">IF($C116="","",VLOOKUP($C116,coefs!$A:$V,16,FALSE()))</f>
        <v/>
      </c>
      <c r="AH116" s="1" t="str">
        <f aca="false">IF($C116="","",VLOOKUP($C116,coefs!$A:$V,17,FALSE()))</f>
        <v/>
      </c>
      <c r="AI116" s="1" t="str">
        <f aca="false">IF($C116="","",VLOOKUP($C116,coefs!$A:$V,18,FALSE()))</f>
        <v/>
      </c>
      <c r="AJ116" s="1" t="str">
        <f aca="false">IF($C116="","",VLOOKUP($C116,coefs!$A:$V,19,FALSE()))</f>
        <v/>
      </c>
      <c r="AK116" s="1" t="str">
        <f aca="false">IF($C116="","",VLOOKUP($C116,coefs!$A:$V,20,FALSE()))</f>
        <v/>
      </c>
      <c r="AL116" s="1" t="str">
        <f aca="false">IF($C116="","",VLOOKUP($C116,coefs!$A:$V,21,FALSE()))</f>
        <v/>
      </c>
      <c r="AM116" s="1" t="str">
        <f aca="false">IF($C116="","",VLOOKUP($C116,coefs!$A:$V,22,FALSE()))</f>
        <v/>
      </c>
    </row>
    <row r="117" customFormat="false" ht="15" hidden="false" customHeight="true" outlineLevel="0" collapsed="false">
      <c r="A117" s="14"/>
      <c r="B117" s="14"/>
      <c r="C117" s="14"/>
      <c r="D117" s="15"/>
      <c r="E117" s="16"/>
      <c r="F117" s="16"/>
      <c r="G117" s="16"/>
      <c r="H117" s="17"/>
      <c r="I117" s="16"/>
      <c r="J117" s="16"/>
      <c r="K117" s="17"/>
      <c r="L117" s="17"/>
      <c r="M117" s="15" t="str">
        <f aca="false">IFERROR(IF(OR($C117="",$D117=""),"",IF($C117="Pinus pinaster",S117/(1+T117*EXP(-U117*$D117)),IF($C117="Quercus pyrenaica",S117*EXP(T117*EXP(-U117*$D117)),1.3+EXP(S117*EXP(-T117*$D117^(-U117)))))),"")</f>
        <v/>
      </c>
      <c r="N117" s="15" t="str">
        <f aca="false">IFERROR(IF($C117="Pinus sylvestris",IF(OR($D117="",$E117="",$F117=""),"",1.3+EXP((V117+W117*$E117)*EXP(-(X117+Y117*$F117)*$D117^(-(Z117+AA117*$E117))))),IF($C117="Pinus nigra",IF(OR($D117="",$E117="",$F117="",$J117=""),"",1.3+EXP((V117+W117*$J117)*EXP(-(X117+Y117*$F117)*$D117^(-(Z117+AA117*$E117))))),IF($C117="Pinus pinaster",IF(OR($D117="",$E117="",$H117="",$F117=""),"",(V117+W117*$E117)/(1+(X117+Y117*$H117)*EXP(-(Z117+AA117*$F117)*$D117))),IF($C117="Quercus pyrenaica",IF(OR($D117="",$E117="",$G117="",$J117=""),"",(V117+W117*$E117)*EXP((X117+Y117*$G117)*EXP(-(Z117+AA117*$J117)*$D117))),"")))),"")</f>
        <v/>
      </c>
      <c r="O117" s="15" t="str">
        <f aca="false">IFERROR(IF($C117="Pinus sylvestris",IF(OR($D117="",$H117="",$I117="",$J117=""),"",1.3+EXP((AB117+AC117*$H117)*EXP(-(AD117+AE117*$I117)*$D117^(-(AF117+AG117*$J117))))),IF($C117="Pinus nigra",IF(OR($D117="",$H117="",$L117="",$I117=""),"",1.3+EXP((AB117+AC117*$H117)*EXP(-(AD117+AE117*$L117)*$D117^(-(AF117+AG117*$I117))))),IF($C117="Pinus pinaster",IF(OR($D117="",$I117="",$K117=""),"",(AB117+AC117*$I117)/(1+(AD117+AE117*$K117)*EXP(-(AF117+AG117*$I117)*$D117))),IF($C117="Quercus pyrenaica",IF(OR($D117="",$L117="",$J117="",$I117=""),"",(AB117+AC117*$L117)*EXP((AD117+AE117*$J117)*EXP(-(AF117+AG117*$I117)*$D117))),"")))),"")</f>
        <v/>
      </c>
      <c r="P117" s="15" t="str">
        <f aca="false">IFERROR(IF(OR($C117="",$D117="",$E117="",$G117=""),"",1.3+(AH117+AI117*$E117-AJ117*$G117)*EXP(-AK117/SQRT($D117))),"")</f>
        <v/>
      </c>
      <c r="Q117" s="15" t="str">
        <f aca="false">IFERROR(IF(OR($C117="",$D117=""),"",1.3+AL117*(LN(1+$D117))^AM117),"")</f>
        <v/>
      </c>
      <c r="S117" s="1" t="str">
        <f aca="false">IF($C117="","",VLOOKUP($C117,coefs!$A:$V,2,FALSE()))</f>
        <v/>
      </c>
      <c r="T117" s="1" t="str">
        <f aca="false">IF($C117="","",VLOOKUP($C117,coefs!$A:$V,3,FALSE()))</f>
        <v/>
      </c>
      <c r="U117" s="1" t="str">
        <f aca="false">IF($C117="","",VLOOKUP($C117,coefs!$A:$V,4,FALSE()))</f>
        <v/>
      </c>
      <c r="V117" s="1" t="str">
        <f aca="false">IF($C117="","",VLOOKUP($C117,coefs!$A:$V,5,FALSE()))</f>
        <v/>
      </c>
      <c r="W117" s="1" t="str">
        <f aca="false">IF($C117="","",VLOOKUP($C117,coefs!$A:$V,6,FALSE()))</f>
        <v/>
      </c>
      <c r="X117" s="1" t="str">
        <f aca="false">IF($C117="","",VLOOKUP($C117,coefs!$A:$V,7,FALSE()))</f>
        <v/>
      </c>
      <c r="Y117" s="1" t="str">
        <f aca="false">IF($C117="","",VLOOKUP($C117,coefs!$A:$V,8,FALSE()))</f>
        <v/>
      </c>
      <c r="Z117" s="1" t="str">
        <f aca="false">IF($C117="","",VLOOKUP($C117,coefs!$A:$V,9,FALSE()))</f>
        <v/>
      </c>
      <c r="AA117" s="1" t="str">
        <f aca="false">IF($C117="","",VLOOKUP($C117,coefs!$A:$V,10,FALSE()))</f>
        <v/>
      </c>
      <c r="AB117" s="1" t="str">
        <f aca="false">IF($C117="","",VLOOKUP($C117,coefs!$A:$V,11,FALSE()))</f>
        <v/>
      </c>
      <c r="AC117" s="1" t="str">
        <f aca="false">IF($C117="","",VLOOKUP($C117,coefs!$A:$V,12,FALSE()))</f>
        <v/>
      </c>
      <c r="AD117" s="1" t="str">
        <f aca="false">IF($C117="","",VLOOKUP($C117,coefs!$A:$V,13,FALSE()))</f>
        <v/>
      </c>
      <c r="AE117" s="1" t="str">
        <f aca="false">IF($C117="","",VLOOKUP($C117,coefs!$A:$V,14,FALSE()))</f>
        <v/>
      </c>
      <c r="AF117" s="1" t="str">
        <f aca="false">IF($C117="","",VLOOKUP($C117,coefs!$A:$V,15,FALSE()))</f>
        <v/>
      </c>
      <c r="AG117" s="1" t="str">
        <f aca="false">IF($C117="","",VLOOKUP($C117,coefs!$A:$V,16,FALSE()))</f>
        <v/>
      </c>
      <c r="AH117" s="1" t="str">
        <f aca="false">IF($C117="","",VLOOKUP($C117,coefs!$A:$V,17,FALSE()))</f>
        <v/>
      </c>
      <c r="AI117" s="1" t="str">
        <f aca="false">IF($C117="","",VLOOKUP($C117,coefs!$A:$V,18,FALSE()))</f>
        <v/>
      </c>
      <c r="AJ117" s="1" t="str">
        <f aca="false">IF($C117="","",VLOOKUP($C117,coefs!$A:$V,19,FALSE()))</f>
        <v/>
      </c>
      <c r="AK117" s="1" t="str">
        <f aca="false">IF($C117="","",VLOOKUP($C117,coefs!$A:$V,20,FALSE()))</f>
        <v/>
      </c>
      <c r="AL117" s="1" t="str">
        <f aca="false">IF($C117="","",VLOOKUP($C117,coefs!$A:$V,21,FALSE()))</f>
        <v/>
      </c>
      <c r="AM117" s="1" t="str">
        <f aca="false">IF($C117="","",VLOOKUP($C117,coefs!$A:$V,22,FALSE()))</f>
        <v/>
      </c>
    </row>
    <row r="118" customFormat="false" ht="15" hidden="false" customHeight="true" outlineLevel="0" collapsed="false">
      <c r="A118" s="14"/>
      <c r="B118" s="14"/>
      <c r="C118" s="14"/>
      <c r="D118" s="15"/>
      <c r="E118" s="16"/>
      <c r="F118" s="16"/>
      <c r="G118" s="16"/>
      <c r="H118" s="17"/>
      <c r="I118" s="16"/>
      <c r="J118" s="16"/>
      <c r="K118" s="17"/>
      <c r="L118" s="17"/>
      <c r="M118" s="15" t="str">
        <f aca="false">IFERROR(IF(OR($C118="",$D118=""),"",IF($C118="Pinus pinaster",S118/(1+T118*EXP(-U118*$D118)),IF($C118="Quercus pyrenaica",S118*EXP(T118*EXP(-U118*$D118)),1.3+EXP(S118*EXP(-T118*$D118^(-U118)))))),"")</f>
        <v/>
      </c>
      <c r="N118" s="15" t="str">
        <f aca="false">IFERROR(IF($C118="Pinus sylvestris",IF(OR($D118="",$E118="",$F118=""),"",1.3+EXP((V118+W118*$E118)*EXP(-(X118+Y118*$F118)*$D118^(-(Z118+AA118*$E118))))),IF($C118="Pinus nigra",IF(OR($D118="",$E118="",$F118="",$J118=""),"",1.3+EXP((V118+W118*$J118)*EXP(-(X118+Y118*$F118)*$D118^(-(Z118+AA118*$E118))))),IF($C118="Pinus pinaster",IF(OR($D118="",$E118="",$H118="",$F118=""),"",(V118+W118*$E118)/(1+(X118+Y118*$H118)*EXP(-(Z118+AA118*$F118)*$D118))),IF($C118="Quercus pyrenaica",IF(OR($D118="",$E118="",$G118="",$J118=""),"",(V118+W118*$E118)*EXP((X118+Y118*$G118)*EXP(-(Z118+AA118*$J118)*$D118))),"")))),"")</f>
        <v/>
      </c>
      <c r="O118" s="15" t="str">
        <f aca="false">IFERROR(IF($C118="Pinus sylvestris",IF(OR($D118="",$H118="",$I118="",$J118=""),"",1.3+EXP((AB118+AC118*$H118)*EXP(-(AD118+AE118*$I118)*$D118^(-(AF118+AG118*$J118))))),IF($C118="Pinus nigra",IF(OR($D118="",$H118="",$L118="",$I118=""),"",1.3+EXP((AB118+AC118*$H118)*EXP(-(AD118+AE118*$L118)*$D118^(-(AF118+AG118*$I118))))),IF($C118="Pinus pinaster",IF(OR($D118="",$I118="",$K118=""),"",(AB118+AC118*$I118)/(1+(AD118+AE118*$K118)*EXP(-(AF118+AG118*$I118)*$D118))),IF($C118="Quercus pyrenaica",IF(OR($D118="",$L118="",$J118="",$I118=""),"",(AB118+AC118*$L118)*EXP((AD118+AE118*$J118)*EXP(-(AF118+AG118*$I118)*$D118))),"")))),"")</f>
        <v/>
      </c>
      <c r="P118" s="15" t="str">
        <f aca="false">IFERROR(IF(OR($C118="",$D118="",$E118="",$G118=""),"",1.3+(AH118+AI118*$E118-AJ118*$G118)*EXP(-AK118/SQRT($D118))),"")</f>
        <v/>
      </c>
      <c r="Q118" s="15" t="str">
        <f aca="false">IFERROR(IF(OR($C118="",$D118=""),"",1.3+AL118*(LN(1+$D118))^AM118),"")</f>
        <v/>
      </c>
      <c r="S118" s="1" t="str">
        <f aca="false">IF($C118="","",VLOOKUP($C118,coefs!$A:$V,2,FALSE()))</f>
        <v/>
      </c>
      <c r="T118" s="1" t="str">
        <f aca="false">IF($C118="","",VLOOKUP($C118,coefs!$A:$V,3,FALSE()))</f>
        <v/>
      </c>
      <c r="U118" s="1" t="str">
        <f aca="false">IF($C118="","",VLOOKUP($C118,coefs!$A:$V,4,FALSE()))</f>
        <v/>
      </c>
      <c r="V118" s="1" t="str">
        <f aca="false">IF($C118="","",VLOOKUP($C118,coefs!$A:$V,5,FALSE()))</f>
        <v/>
      </c>
      <c r="W118" s="1" t="str">
        <f aca="false">IF($C118="","",VLOOKUP($C118,coefs!$A:$V,6,FALSE()))</f>
        <v/>
      </c>
      <c r="X118" s="1" t="str">
        <f aca="false">IF($C118="","",VLOOKUP($C118,coefs!$A:$V,7,FALSE()))</f>
        <v/>
      </c>
      <c r="Y118" s="1" t="str">
        <f aca="false">IF($C118="","",VLOOKUP($C118,coefs!$A:$V,8,FALSE()))</f>
        <v/>
      </c>
      <c r="Z118" s="1" t="str">
        <f aca="false">IF($C118="","",VLOOKUP($C118,coefs!$A:$V,9,FALSE()))</f>
        <v/>
      </c>
      <c r="AA118" s="1" t="str">
        <f aca="false">IF($C118="","",VLOOKUP($C118,coefs!$A:$V,10,FALSE()))</f>
        <v/>
      </c>
      <c r="AB118" s="1" t="str">
        <f aca="false">IF($C118="","",VLOOKUP($C118,coefs!$A:$V,11,FALSE()))</f>
        <v/>
      </c>
      <c r="AC118" s="1" t="str">
        <f aca="false">IF($C118="","",VLOOKUP($C118,coefs!$A:$V,12,FALSE()))</f>
        <v/>
      </c>
      <c r="AD118" s="1" t="str">
        <f aca="false">IF($C118="","",VLOOKUP($C118,coefs!$A:$V,13,FALSE()))</f>
        <v/>
      </c>
      <c r="AE118" s="1" t="str">
        <f aca="false">IF($C118="","",VLOOKUP($C118,coefs!$A:$V,14,FALSE()))</f>
        <v/>
      </c>
      <c r="AF118" s="1" t="str">
        <f aca="false">IF($C118="","",VLOOKUP($C118,coefs!$A:$V,15,FALSE()))</f>
        <v/>
      </c>
      <c r="AG118" s="1" t="str">
        <f aca="false">IF($C118="","",VLOOKUP($C118,coefs!$A:$V,16,FALSE()))</f>
        <v/>
      </c>
      <c r="AH118" s="1" t="str">
        <f aca="false">IF($C118="","",VLOOKUP($C118,coefs!$A:$V,17,FALSE()))</f>
        <v/>
      </c>
      <c r="AI118" s="1" t="str">
        <f aca="false">IF($C118="","",VLOOKUP($C118,coefs!$A:$V,18,FALSE()))</f>
        <v/>
      </c>
      <c r="AJ118" s="1" t="str">
        <f aca="false">IF($C118="","",VLOOKUP($C118,coefs!$A:$V,19,FALSE()))</f>
        <v/>
      </c>
      <c r="AK118" s="1" t="str">
        <f aca="false">IF($C118="","",VLOOKUP($C118,coefs!$A:$V,20,FALSE()))</f>
        <v/>
      </c>
      <c r="AL118" s="1" t="str">
        <f aca="false">IF($C118="","",VLOOKUP($C118,coefs!$A:$V,21,FALSE()))</f>
        <v/>
      </c>
      <c r="AM118" s="1" t="str">
        <f aca="false">IF($C118="","",VLOOKUP($C118,coefs!$A:$V,22,FALSE()))</f>
        <v/>
      </c>
    </row>
    <row r="119" customFormat="false" ht="15" hidden="false" customHeight="true" outlineLevel="0" collapsed="false">
      <c r="A119" s="14"/>
      <c r="B119" s="14"/>
      <c r="C119" s="14"/>
      <c r="D119" s="15"/>
      <c r="E119" s="16"/>
      <c r="F119" s="16"/>
      <c r="G119" s="16"/>
      <c r="H119" s="17"/>
      <c r="I119" s="16"/>
      <c r="J119" s="16"/>
      <c r="K119" s="17"/>
      <c r="L119" s="17"/>
      <c r="M119" s="15" t="str">
        <f aca="false">IFERROR(IF(OR($C119="",$D119=""),"",IF($C119="Pinus pinaster",S119/(1+T119*EXP(-U119*$D119)),IF($C119="Quercus pyrenaica",S119*EXP(T119*EXP(-U119*$D119)),1.3+EXP(S119*EXP(-T119*$D119^(-U119)))))),"")</f>
        <v/>
      </c>
      <c r="N119" s="15" t="str">
        <f aca="false">IFERROR(IF($C119="Pinus sylvestris",IF(OR($D119="",$E119="",$F119=""),"",1.3+EXP((V119+W119*$E119)*EXP(-(X119+Y119*$F119)*$D119^(-(Z119+AA119*$E119))))),IF($C119="Pinus nigra",IF(OR($D119="",$E119="",$F119="",$J119=""),"",1.3+EXP((V119+W119*$J119)*EXP(-(X119+Y119*$F119)*$D119^(-(Z119+AA119*$E119))))),IF($C119="Pinus pinaster",IF(OR($D119="",$E119="",$H119="",$F119=""),"",(V119+W119*$E119)/(1+(X119+Y119*$H119)*EXP(-(Z119+AA119*$F119)*$D119))),IF($C119="Quercus pyrenaica",IF(OR($D119="",$E119="",$G119="",$J119=""),"",(V119+W119*$E119)*EXP((X119+Y119*$G119)*EXP(-(Z119+AA119*$J119)*$D119))),"")))),"")</f>
        <v/>
      </c>
      <c r="O119" s="15" t="str">
        <f aca="false">IFERROR(IF($C119="Pinus sylvestris",IF(OR($D119="",$H119="",$I119="",$J119=""),"",1.3+EXP((AB119+AC119*$H119)*EXP(-(AD119+AE119*$I119)*$D119^(-(AF119+AG119*$J119))))),IF($C119="Pinus nigra",IF(OR($D119="",$H119="",$L119="",$I119=""),"",1.3+EXP((AB119+AC119*$H119)*EXP(-(AD119+AE119*$L119)*$D119^(-(AF119+AG119*$I119))))),IF($C119="Pinus pinaster",IF(OR($D119="",$I119="",$K119=""),"",(AB119+AC119*$I119)/(1+(AD119+AE119*$K119)*EXP(-(AF119+AG119*$I119)*$D119))),IF($C119="Quercus pyrenaica",IF(OR($D119="",$L119="",$J119="",$I119=""),"",(AB119+AC119*$L119)*EXP((AD119+AE119*$J119)*EXP(-(AF119+AG119*$I119)*$D119))),"")))),"")</f>
        <v/>
      </c>
      <c r="P119" s="15" t="str">
        <f aca="false">IFERROR(IF(OR($C119="",$D119="",$E119="",$G119=""),"",1.3+(AH119+AI119*$E119-AJ119*$G119)*EXP(-AK119/SQRT($D119))),"")</f>
        <v/>
      </c>
      <c r="Q119" s="15" t="str">
        <f aca="false">IFERROR(IF(OR($C119="",$D119=""),"",1.3+AL119*(LN(1+$D119))^AM119),"")</f>
        <v/>
      </c>
      <c r="S119" s="1" t="str">
        <f aca="false">IF($C119="","",VLOOKUP($C119,coefs!$A:$V,2,FALSE()))</f>
        <v/>
      </c>
      <c r="T119" s="1" t="str">
        <f aca="false">IF($C119="","",VLOOKUP($C119,coefs!$A:$V,3,FALSE()))</f>
        <v/>
      </c>
      <c r="U119" s="1" t="str">
        <f aca="false">IF($C119="","",VLOOKUP($C119,coefs!$A:$V,4,FALSE()))</f>
        <v/>
      </c>
      <c r="V119" s="1" t="str">
        <f aca="false">IF($C119="","",VLOOKUP($C119,coefs!$A:$V,5,FALSE()))</f>
        <v/>
      </c>
      <c r="W119" s="1" t="str">
        <f aca="false">IF($C119="","",VLOOKUP($C119,coefs!$A:$V,6,FALSE()))</f>
        <v/>
      </c>
      <c r="X119" s="1" t="str">
        <f aca="false">IF($C119="","",VLOOKUP($C119,coefs!$A:$V,7,FALSE()))</f>
        <v/>
      </c>
      <c r="Y119" s="1" t="str">
        <f aca="false">IF($C119="","",VLOOKUP($C119,coefs!$A:$V,8,FALSE()))</f>
        <v/>
      </c>
      <c r="Z119" s="1" t="str">
        <f aca="false">IF($C119="","",VLOOKUP($C119,coefs!$A:$V,9,FALSE()))</f>
        <v/>
      </c>
      <c r="AA119" s="1" t="str">
        <f aca="false">IF($C119="","",VLOOKUP($C119,coefs!$A:$V,10,FALSE()))</f>
        <v/>
      </c>
      <c r="AB119" s="1" t="str">
        <f aca="false">IF($C119="","",VLOOKUP($C119,coefs!$A:$V,11,FALSE()))</f>
        <v/>
      </c>
      <c r="AC119" s="1" t="str">
        <f aca="false">IF($C119="","",VLOOKUP($C119,coefs!$A:$V,12,FALSE()))</f>
        <v/>
      </c>
      <c r="AD119" s="1" t="str">
        <f aca="false">IF($C119="","",VLOOKUP($C119,coefs!$A:$V,13,FALSE()))</f>
        <v/>
      </c>
      <c r="AE119" s="1" t="str">
        <f aca="false">IF($C119="","",VLOOKUP($C119,coefs!$A:$V,14,FALSE()))</f>
        <v/>
      </c>
      <c r="AF119" s="1" t="str">
        <f aca="false">IF($C119="","",VLOOKUP($C119,coefs!$A:$V,15,FALSE()))</f>
        <v/>
      </c>
      <c r="AG119" s="1" t="str">
        <f aca="false">IF($C119="","",VLOOKUP($C119,coefs!$A:$V,16,FALSE()))</f>
        <v/>
      </c>
      <c r="AH119" s="1" t="str">
        <f aca="false">IF($C119="","",VLOOKUP($C119,coefs!$A:$V,17,FALSE()))</f>
        <v/>
      </c>
      <c r="AI119" s="1" t="str">
        <f aca="false">IF($C119="","",VLOOKUP($C119,coefs!$A:$V,18,FALSE()))</f>
        <v/>
      </c>
      <c r="AJ119" s="1" t="str">
        <f aca="false">IF($C119="","",VLOOKUP($C119,coefs!$A:$V,19,FALSE()))</f>
        <v/>
      </c>
      <c r="AK119" s="1" t="str">
        <f aca="false">IF($C119="","",VLOOKUP($C119,coefs!$A:$V,20,FALSE()))</f>
        <v/>
      </c>
      <c r="AL119" s="1" t="str">
        <f aca="false">IF($C119="","",VLOOKUP($C119,coefs!$A:$V,21,FALSE()))</f>
        <v/>
      </c>
      <c r="AM119" s="1" t="str">
        <f aca="false">IF($C119="","",VLOOKUP($C119,coefs!$A:$V,22,FALSE()))</f>
        <v/>
      </c>
    </row>
    <row r="120" customFormat="false" ht="15" hidden="false" customHeight="true" outlineLevel="0" collapsed="false">
      <c r="A120" s="14"/>
      <c r="B120" s="14"/>
      <c r="C120" s="14"/>
      <c r="D120" s="15"/>
      <c r="E120" s="16"/>
      <c r="F120" s="16"/>
      <c r="G120" s="16"/>
      <c r="H120" s="17"/>
      <c r="I120" s="16"/>
      <c r="J120" s="16"/>
      <c r="K120" s="17"/>
      <c r="L120" s="17"/>
      <c r="M120" s="15" t="str">
        <f aca="false">IFERROR(IF(OR($C120="",$D120=""),"",IF($C120="Pinus pinaster",S120/(1+T120*EXP(-U120*$D120)),IF($C120="Quercus pyrenaica",S120*EXP(T120*EXP(-U120*$D120)),1.3+EXP(S120*EXP(-T120*$D120^(-U120)))))),"")</f>
        <v/>
      </c>
      <c r="N120" s="15" t="str">
        <f aca="false">IFERROR(IF($C120="Pinus sylvestris",IF(OR($D120="",$E120="",$F120=""),"",1.3+EXP((V120+W120*$E120)*EXP(-(X120+Y120*$F120)*$D120^(-(Z120+AA120*$E120))))),IF($C120="Pinus nigra",IF(OR($D120="",$E120="",$F120="",$J120=""),"",1.3+EXP((V120+W120*$J120)*EXP(-(X120+Y120*$F120)*$D120^(-(Z120+AA120*$E120))))),IF($C120="Pinus pinaster",IF(OR($D120="",$E120="",$H120="",$F120=""),"",(V120+W120*$E120)/(1+(X120+Y120*$H120)*EXP(-(Z120+AA120*$F120)*$D120))),IF($C120="Quercus pyrenaica",IF(OR($D120="",$E120="",$G120="",$J120=""),"",(V120+W120*$E120)*EXP((X120+Y120*$G120)*EXP(-(Z120+AA120*$J120)*$D120))),"")))),"")</f>
        <v/>
      </c>
      <c r="O120" s="15" t="str">
        <f aca="false">IFERROR(IF($C120="Pinus sylvestris",IF(OR($D120="",$H120="",$I120="",$J120=""),"",1.3+EXP((AB120+AC120*$H120)*EXP(-(AD120+AE120*$I120)*$D120^(-(AF120+AG120*$J120))))),IF($C120="Pinus nigra",IF(OR($D120="",$H120="",$L120="",$I120=""),"",1.3+EXP((AB120+AC120*$H120)*EXP(-(AD120+AE120*$L120)*$D120^(-(AF120+AG120*$I120))))),IF($C120="Pinus pinaster",IF(OR($D120="",$I120="",$K120=""),"",(AB120+AC120*$I120)/(1+(AD120+AE120*$K120)*EXP(-(AF120+AG120*$I120)*$D120))),IF($C120="Quercus pyrenaica",IF(OR($D120="",$L120="",$J120="",$I120=""),"",(AB120+AC120*$L120)*EXP((AD120+AE120*$J120)*EXP(-(AF120+AG120*$I120)*$D120))),"")))),"")</f>
        <v/>
      </c>
      <c r="P120" s="15" t="str">
        <f aca="false">IFERROR(IF(OR($C120="",$D120="",$E120="",$G120=""),"",1.3+(AH120+AI120*$E120-AJ120*$G120)*EXP(-AK120/SQRT($D120))),"")</f>
        <v/>
      </c>
      <c r="Q120" s="15" t="str">
        <f aca="false">IFERROR(IF(OR($C120="",$D120=""),"",1.3+AL120*(LN(1+$D120))^AM120),"")</f>
        <v/>
      </c>
      <c r="S120" s="1" t="str">
        <f aca="false">IF($C120="","",VLOOKUP($C120,coefs!$A:$V,2,FALSE()))</f>
        <v/>
      </c>
      <c r="T120" s="1" t="str">
        <f aca="false">IF($C120="","",VLOOKUP($C120,coefs!$A:$V,3,FALSE()))</f>
        <v/>
      </c>
      <c r="U120" s="1" t="str">
        <f aca="false">IF($C120="","",VLOOKUP($C120,coefs!$A:$V,4,FALSE()))</f>
        <v/>
      </c>
      <c r="V120" s="1" t="str">
        <f aca="false">IF($C120="","",VLOOKUP($C120,coefs!$A:$V,5,FALSE()))</f>
        <v/>
      </c>
      <c r="W120" s="1" t="str">
        <f aca="false">IF($C120="","",VLOOKUP($C120,coefs!$A:$V,6,FALSE()))</f>
        <v/>
      </c>
      <c r="X120" s="1" t="str">
        <f aca="false">IF($C120="","",VLOOKUP($C120,coefs!$A:$V,7,FALSE()))</f>
        <v/>
      </c>
      <c r="Y120" s="1" t="str">
        <f aca="false">IF($C120="","",VLOOKUP($C120,coefs!$A:$V,8,FALSE()))</f>
        <v/>
      </c>
      <c r="Z120" s="1" t="str">
        <f aca="false">IF($C120="","",VLOOKUP($C120,coefs!$A:$V,9,FALSE()))</f>
        <v/>
      </c>
      <c r="AA120" s="1" t="str">
        <f aca="false">IF($C120="","",VLOOKUP($C120,coefs!$A:$V,10,FALSE()))</f>
        <v/>
      </c>
      <c r="AB120" s="1" t="str">
        <f aca="false">IF($C120="","",VLOOKUP($C120,coefs!$A:$V,11,FALSE()))</f>
        <v/>
      </c>
      <c r="AC120" s="1" t="str">
        <f aca="false">IF($C120="","",VLOOKUP($C120,coefs!$A:$V,12,FALSE()))</f>
        <v/>
      </c>
      <c r="AD120" s="1" t="str">
        <f aca="false">IF($C120="","",VLOOKUP($C120,coefs!$A:$V,13,FALSE()))</f>
        <v/>
      </c>
      <c r="AE120" s="1" t="str">
        <f aca="false">IF($C120="","",VLOOKUP($C120,coefs!$A:$V,14,FALSE()))</f>
        <v/>
      </c>
      <c r="AF120" s="1" t="str">
        <f aca="false">IF($C120="","",VLOOKUP($C120,coefs!$A:$V,15,FALSE()))</f>
        <v/>
      </c>
      <c r="AG120" s="1" t="str">
        <f aca="false">IF($C120="","",VLOOKUP($C120,coefs!$A:$V,16,FALSE()))</f>
        <v/>
      </c>
      <c r="AH120" s="1" t="str">
        <f aca="false">IF($C120="","",VLOOKUP($C120,coefs!$A:$V,17,FALSE()))</f>
        <v/>
      </c>
      <c r="AI120" s="1" t="str">
        <f aca="false">IF($C120="","",VLOOKUP($C120,coefs!$A:$V,18,FALSE()))</f>
        <v/>
      </c>
      <c r="AJ120" s="1" t="str">
        <f aca="false">IF($C120="","",VLOOKUP($C120,coefs!$A:$V,19,FALSE()))</f>
        <v/>
      </c>
      <c r="AK120" s="1" t="str">
        <f aca="false">IF($C120="","",VLOOKUP($C120,coefs!$A:$V,20,FALSE()))</f>
        <v/>
      </c>
      <c r="AL120" s="1" t="str">
        <f aca="false">IF($C120="","",VLOOKUP($C120,coefs!$A:$V,21,FALSE()))</f>
        <v/>
      </c>
      <c r="AM120" s="1" t="str">
        <f aca="false">IF($C120="","",VLOOKUP($C120,coefs!$A:$V,22,FALSE()))</f>
        <v/>
      </c>
    </row>
    <row r="121" customFormat="false" ht="15" hidden="false" customHeight="true" outlineLevel="0" collapsed="false">
      <c r="A121" s="14"/>
      <c r="B121" s="14"/>
      <c r="C121" s="14"/>
      <c r="D121" s="15"/>
      <c r="E121" s="16"/>
      <c r="F121" s="16"/>
      <c r="G121" s="16"/>
      <c r="H121" s="17"/>
      <c r="I121" s="16"/>
      <c r="J121" s="16"/>
      <c r="K121" s="17"/>
      <c r="L121" s="17"/>
      <c r="M121" s="15" t="str">
        <f aca="false">IFERROR(IF(OR($C121="",$D121=""),"",IF($C121="Pinus pinaster",S121/(1+T121*EXP(-U121*$D121)),IF($C121="Quercus pyrenaica",S121*EXP(T121*EXP(-U121*$D121)),1.3+EXP(S121*EXP(-T121*$D121^(-U121)))))),"")</f>
        <v/>
      </c>
      <c r="N121" s="15" t="str">
        <f aca="false">IFERROR(IF($C121="Pinus sylvestris",IF(OR($D121="",$E121="",$F121=""),"",1.3+EXP((V121+W121*$E121)*EXP(-(X121+Y121*$F121)*$D121^(-(Z121+AA121*$E121))))),IF($C121="Pinus nigra",IF(OR($D121="",$E121="",$F121="",$J121=""),"",1.3+EXP((V121+W121*$J121)*EXP(-(X121+Y121*$F121)*$D121^(-(Z121+AA121*$E121))))),IF($C121="Pinus pinaster",IF(OR($D121="",$E121="",$H121="",$F121=""),"",(V121+W121*$E121)/(1+(X121+Y121*$H121)*EXP(-(Z121+AA121*$F121)*$D121))),IF($C121="Quercus pyrenaica",IF(OR($D121="",$E121="",$G121="",$J121=""),"",(V121+W121*$E121)*EXP((X121+Y121*$G121)*EXP(-(Z121+AA121*$J121)*$D121))),"")))),"")</f>
        <v/>
      </c>
      <c r="O121" s="15" t="str">
        <f aca="false">IFERROR(IF($C121="Pinus sylvestris",IF(OR($D121="",$H121="",$I121="",$J121=""),"",1.3+EXP((AB121+AC121*$H121)*EXP(-(AD121+AE121*$I121)*$D121^(-(AF121+AG121*$J121))))),IF($C121="Pinus nigra",IF(OR($D121="",$H121="",$L121="",$I121=""),"",1.3+EXP((AB121+AC121*$H121)*EXP(-(AD121+AE121*$L121)*$D121^(-(AF121+AG121*$I121))))),IF($C121="Pinus pinaster",IF(OR($D121="",$I121="",$K121=""),"",(AB121+AC121*$I121)/(1+(AD121+AE121*$K121)*EXP(-(AF121+AG121*$I121)*$D121))),IF($C121="Quercus pyrenaica",IF(OR($D121="",$L121="",$J121="",$I121=""),"",(AB121+AC121*$L121)*EXP((AD121+AE121*$J121)*EXP(-(AF121+AG121*$I121)*$D121))),"")))),"")</f>
        <v/>
      </c>
      <c r="P121" s="15" t="str">
        <f aca="false">IFERROR(IF(OR($C121="",$D121="",$E121="",$G121=""),"",1.3+(AH121+AI121*$E121-AJ121*$G121)*EXP(-AK121/SQRT($D121))),"")</f>
        <v/>
      </c>
      <c r="Q121" s="15" t="str">
        <f aca="false">IFERROR(IF(OR($C121="",$D121=""),"",1.3+AL121*(LN(1+$D121))^AM121),"")</f>
        <v/>
      </c>
      <c r="S121" s="1" t="str">
        <f aca="false">IF($C121="","",VLOOKUP($C121,coefs!$A:$V,2,FALSE()))</f>
        <v/>
      </c>
      <c r="T121" s="1" t="str">
        <f aca="false">IF($C121="","",VLOOKUP($C121,coefs!$A:$V,3,FALSE()))</f>
        <v/>
      </c>
      <c r="U121" s="1" t="str">
        <f aca="false">IF($C121="","",VLOOKUP($C121,coefs!$A:$V,4,FALSE()))</f>
        <v/>
      </c>
      <c r="V121" s="1" t="str">
        <f aca="false">IF($C121="","",VLOOKUP($C121,coefs!$A:$V,5,FALSE()))</f>
        <v/>
      </c>
      <c r="W121" s="1" t="str">
        <f aca="false">IF($C121="","",VLOOKUP($C121,coefs!$A:$V,6,FALSE()))</f>
        <v/>
      </c>
      <c r="X121" s="1" t="str">
        <f aca="false">IF($C121="","",VLOOKUP($C121,coefs!$A:$V,7,FALSE()))</f>
        <v/>
      </c>
      <c r="Y121" s="1" t="str">
        <f aca="false">IF($C121="","",VLOOKUP($C121,coefs!$A:$V,8,FALSE()))</f>
        <v/>
      </c>
      <c r="Z121" s="1" t="str">
        <f aca="false">IF($C121="","",VLOOKUP($C121,coefs!$A:$V,9,FALSE()))</f>
        <v/>
      </c>
      <c r="AA121" s="1" t="str">
        <f aca="false">IF($C121="","",VLOOKUP($C121,coefs!$A:$V,10,FALSE()))</f>
        <v/>
      </c>
      <c r="AB121" s="1" t="str">
        <f aca="false">IF($C121="","",VLOOKUP($C121,coefs!$A:$V,11,FALSE()))</f>
        <v/>
      </c>
      <c r="AC121" s="1" t="str">
        <f aca="false">IF($C121="","",VLOOKUP($C121,coefs!$A:$V,12,FALSE()))</f>
        <v/>
      </c>
      <c r="AD121" s="1" t="str">
        <f aca="false">IF($C121="","",VLOOKUP($C121,coefs!$A:$V,13,FALSE()))</f>
        <v/>
      </c>
      <c r="AE121" s="1" t="str">
        <f aca="false">IF($C121="","",VLOOKUP($C121,coefs!$A:$V,14,FALSE()))</f>
        <v/>
      </c>
      <c r="AF121" s="1" t="str">
        <f aca="false">IF($C121="","",VLOOKUP($C121,coefs!$A:$V,15,FALSE()))</f>
        <v/>
      </c>
      <c r="AG121" s="1" t="str">
        <f aca="false">IF($C121="","",VLOOKUP($C121,coefs!$A:$V,16,FALSE()))</f>
        <v/>
      </c>
      <c r="AH121" s="1" t="str">
        <f aca="false">IF($C121="","",VLOOKUP($C121,coefs!$A:$V,17,FALSE()))</f>
        <v/>
      </c>
      <c r="AI121" s="1" t="str">
        <f aca="false">IF($C121="","",VLOOKUP($C121,coefs!$A:$V,18,FALSE()))</f>
        <v/>
      </c>
      <c r="AJ121" s="1" t="str">
        <f aca="false">IF($C121="","",VLOOKUP($C121,coefs!$A:$V,19,FALSE()))</f>
        <v/>
      </c>
      <c r="AK121" s="1" t="str">
        <f aca="false">IF($C121="","",VLOOKUP($C121,coefs!$A:$V,20,FALSE()))</f>
        <v/>
      </c>
      <c r="AL121" s="1" t="str">
        <f aca="false">IF($C121="","",VLOOKUP($C121,coefs!$A:$V,21,FALSE()))</f>
        <v/>
      </c>
      <c r="AM121" s="1" t="str">
        <f aca="false">IF($C121="","",VLOOKUP($C121,coefs!$A:$V,22,FALSE()))</f>
        <v/>
      </c>
    </row>
  </sheetData>
  <dataValidations count="2">
    <dataValidation allowBlank="true" errorStyle="stop" operator="between" showDropDown="false" showErrorMessage="false" showInputMessage="false" sqref="C2:C121" type="list">
      <formula1>"Pinus sylvestris,Pinus nigra,Pinus pinaster,Quercus pyrenaica"</formula1>
      <formula2>0</formula2>
    </dataValidation>
    <dataValidation allowBlank="true" error="El dbh debe ser ≥ 7,5 cm (rango de ajuste de los modelos)." errorStyle="stop" errorTitle="dbh fuera de rango" operator="greaterThanOrEqual" showDropDown="false" showErrorMessage="false" showInputMessage="false" sqref="D2:D121" type="decimal">
      <formula1>7.5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6" min="5" style="1" width="10"/>
  </cols>
  <sheetData>
    <row r="1" customFormat="false" ht="18" hidden="false" customHeight="true" outlineLevel="0" collapsed="false">
      <c r="A1" s="18" t="s">
        <v>86</v>
      </c>
    </row>
    <row r="2" customFormat="false" ht="15" hidden="false" customHeight="true" outlineLevel="0" collapsed="false">
      <c r="A2" s="3" t="s">
        <v>87</v>
      </c>
    </row>
    <row r="4" customFormat="false" ht="15" hidden="false" customHeight="true" outlineLevel="0" collapsed="false">
      <c r="A4" s="4" t="s">
        <v>88</v>
      </c>
      <c r="B4" s="4" t="s">
        <v>89</v>
      </c>
      <c r="C4" s="4" t="s">
        <v>90</v>
      </c>
    </row>
    <row r="5" customFormat="false" ht="57.75" hidden="false" customHeight="true" outlineLevel="0" collapsed="false">
      <c r="A5" s="19" t="s">
        <v>91</v>
      </c>
      <c r="B5" s="7" t="s">
        <v>92</v>
      </c>
      <c r="C5" s="7" t="s">
        <v>93</v>
      </c>
    </row>
    <row r="6" customFormat="false" ht="57.75" hidden="false" customHeight="true" outlineLevel="0" collapsed="false">
      <c r="A6" s="19" t="s">
        <v>94</v>
      </c>
      <c r="B6" s="7" t="s">
        <v>95</v>
      </c>
      <c r="C6" s="7" t="s">
        <v>96</v>
      </c>
    </row>
    <row r="7" customFormat="false" ht="57.75" hidden="false" customHeight="true" outlineLevel="0" collapsed="false">
      <c r="A7" s="19" t="s">
        <v>97</v>
      </c>
      <c r="B7" s="7" t="s">
        <v>98</v>
      </c>
      <c r="C7" s="7" t="s">
        <v>99</v>
      </c>
    </row>
    <row r="8" customFormat="false" ht="57.75" hidden="false" customHeight="true" outlineLevel="0" collapsed="false">
      <c r="A8" s="19" t="s">
        <v>100</v>
      </c>
      <c r="B8" s="7" t="s">
        <v>101</v>
      </c>
      <c r="C8" s="7" t="s">
        <v>102</v>
      </c>
    </row>
    <row r="9" customFormat="false" ht="57.75" hidden="false" customHeight="true" outlineLevel="0" collapsed="false">
      <c r="A9" s="19" t="s">
        <v>103</v>
      </c>
      <c r="B9" s="7" t="s">
        <v>92</v>
      </c>
      <c r="C9" s="7" t="s">
        <v>104</v>
      </c>
    </row>
    <row r="11" customFormat="false" ht="15.75" hidden="false" customHeight="true" outlineLevel="0" collapsed="false">
      <c r="A11" s="20" t="s">
        <v>105</v>
      </c>
    </row>
    <row r="12" customFormat="false" ht="15" hidden="false" customHeight="true" outlineLevel="0" collapsed="false">
      <c r="A12" s="4" t="s">
        <v>13</v>
      </c>
      <c r="B12" s="4" t="s">
        <v>88</v>
      </c>
      <c r="C12" s="4" t="s">
        <v>106</v>
      </c>
      <c r="D12" s="4" t="s">
        <v>107</v>
      </c>
      <c r="E12" s="4" t="s">
        <v>108</v>
      </c>
      <c r="F12" s="4" t="s">
        <v>109</v>
      </c>
    </row>
    <row r="13" customFormat="false" ht="15" hidden="false" customHeight="true" outlineLevel="0" collapsed="false">
      <c r="A13" s="21" t="s">
        <v>73</v>
      </c>
      <c r="B13" s="14" t="s">
        <v>91</v>
      </c>
      <c r="C13" s="22" t="n">
        <v>0.578</v>
      </c>
      <c r="D13" s="22" t="n">
        <v>2.178</v>
      </c>
      <c r="E13" s="22" t="n">
        <v>-0.021</v>
      </c>
      <c r="F13" s="22" t="n">
        <v>1.738</v>
      </c>
    </row>
    <row r="14" customFormat="false" ht="15" hidden="false" customHeight="true" outlineLevel="0" collapsed="false">
      <c r="A14" s="21"/>
      <c r="B14" s="14" t="s">
        <v>94</v>
      </c>
      <c r="C14" s="22" t="n">
        <v>0.913</v>
      </c>
      <c r="D14" s="22" t="n">
        <v>0.988</v>
      </c>
      <c r="E14" s="22" t="n">
        <v>0.093</v>
      </c>
      <c r="F14" s="22" t="n">
        <v>0.764</v>
      </c>
    </row>
    <row r="15" customFormat="false" ht="15" hidden="false" customHeight="true" outlineLevel="0" collapsed="false">
      <c r="A15" s="21"/>
      <c r="B15" s="14" t="s">
        <v>97</v>
      </c>
      <c r="C15" s="22" t="n">
        <v>0.66</v>
      </c>
      <c r="D15" s="22" t="n">
        <v>1.957</v>
      </c>
      <c r="E15" s="22" t="n">
        <v>-0.522</v>
      </c>
      <c r="F15" s="22" t="n">
        <v>1.444</v>
      </c>
    </row>
    <row r="16" customFormat="false" ht="15" hidden="false" customHeight="true" outlineLevel="0" collapsed="false">
      <c r="A16" s="21"/>
      <c r="B16" s="14" t="s">
        <v>27</v>
      </c>
      <c r="C16" s="22" t="n">
        <v>0.912</v>
      </c>
      <c r="D16" s="22" t="n">
        <v>0.997</v>
      </c>
      <c r="E16" s="22" t="n">
        <v>-0.038</v>
      </c>
      <c r="F16" s="22" t="n">
        <v>0.774</v>
      </c>
    </row>
    <row r="17" customFormat="false" ht="15" hidden="false" customHeight="true" outlineLevel="0" collapsed="false">
      <c r="A17" s="21"/>
      <c r="B17" s="14" t="s">
        <v>110</v>
      </c>
      <c r="C17" s="22" t="n">
        <v>0.558</v>
      </c>
      <c r="D17" s="22" t="n">
        <v>2.29</v>
      </c>
      <c r="E17" s="22" t="n">
        <v>-0.234</v>
      </c>
      <c r="F17" s="22" t="n">
        <v>1.783</v>
      </c>
    </row>
    <row r="18" customFormat="false" ht="15" hidden="false" customHeight="true" outlineLevel="0" collapsed="false">
      <c r="A18" s="21" t="s">
        <v>74</v>
      </c>
      <c r="B18" s="14" t="s">
        <v>91</v>
      </c>
      <c r="C18" s="22" t="n">
        <v>0.656</v>
      </c>
      <c r="D18" s="22" t="n">
        <v>1.958</v>
      </c>
      <c r="E18" s="22" t="n">
        <v>-0.035</v>
      </c>
      <c r="F18" s="22" t="n">
        <v>1.556</v>
      </c>
    </row>
    <row r="19" customFormat="false" ht="15" hidden="false" customHeight="true" outlineLevel="0" collapsed="false">
      <c r="A19" s="21"/>
      <c r="B19" s="14" t="s">
        <v>94</v>
      </c>
      <c r="C19" s="22" t="n">
        <v>0.918</v>
      </c>
      <c r="D19" s="22" t="n">
        <v>0.953</v>
      </c>
      <c r="E19" s="22" t="n">
        <v>-0.018</v>
      </c>
      <c r="F19" s="22" t="n">
        <v>0.717</v>
      </c>
    </row>
    <row r="20" customFormat="false" ht="15" hidden="false" customHeight="true" outlineLevel="0" collapsed="false">
      <c r="A20" s="21"/>
      <c r="B20" s="14" t="s">
        <v>97</v>
      </c>
      <c r="C20" s="22" t="n">
        <v>0.687</v>
      </c>
      <c r="D20" s="22" t="n">
        <v>1.868</v>
      </c>
      <c r="E20" s="22" t="n">
        <v>0.683</v>
      </c>
      <c r="F20" s="22" t="n">
        <v>1.47</v>
      </c>
    </row>
    <row r="21" customFormat="false" ht="15" hidden="false" customHeight="true" outlineLevel="0" collapsed="false">
      <c r="A21" s="21"/>
      <c r="B21" s="14" t="s">
        <v>27</v>
      </c>
      <c r="C21" s="22" t="n">
        <v>0.917</v>
      </c>
      <c r="D21" s="22" t="n">
        <v>0.961</v>
      </c>
      <c r="E21" s="22" t="n">
        <v>-0.009</v>
      </c>
      <c r="F21" s="22" t="n">
        <v>0.72</v>
      </c>
    </row>
    <row r="22" customFormat="false" ht="15" hidden="false" customHeight="true" outlineLevel="0" collapsed="false">
      <c r="A22" s="21"/>
      <c r="B22" s="14" t="s">
        <v>110</v>
      </c>
      <c r="C22" s="22" t="n">
        <v>0.622</v>
      </c>
      <c r="D22" s="22" t="n">
        <v>2.051</v>
      </c>
      <c r="E22" s="22" t="n">
        <v>-0.171</v>
      </c>
      <c r="F22" s="22" t="n">
        <v>1.636</v>
      </c>
    </row>
    <row r="23" customFormat="false" ht="15" hidden="false" customHeight="true" outlineLevel="0" collapsed="false">
      <c r="A23" s="21" t="s">
        <v>75</v>
      </c>
      <c r="B23" s="14" t="s">
        <v>91</v>
      </c>
      <c r="C23" s="22" t="n">
        <v>0.726</v>
      </c>
      <c r="D23" s="22" t="n">
        <v>1.654</v>
      </c>
      <c r="E23" s="22" t="n">
        <v>0.04</v>
      </c>
      <c r="F23" s="22" t="n">
        <v>1.32</v>
      </c>
    </row>
    <row r="24" customFormat="false" ht="15" hidden="false" customHeight="true" outlineLevel="0" collapsed="false">
      <c r="A24" s="21"/>
      <c r="B24" s="14" t="s">
        <v>94</v>
      </c>
      <c r="C24" s="22" t="n">
        <v>0.888</v>
      </c>
      <c r="D24" s="22" t="n">
        <v>1.057</v>
      </c>
      <c r="E24" s="22" t="n">
        <v>-0.038</v>
      </c>
      <c r="F24" s="22" t="n">
        <v>0.802</v>
      </c>
    </row>
    <row r="25" customFormat="false" ht="15" hidden="false" customHeight="true" outlineLevel="0" collapsed="false">
      <c r="A25" s="21"/>
      <c r="B25" s="14" t="s">
        <v>97</v>
      </c>
      <c r="C25" s="22" t="n">
        <v>0.714</v>
      </c>
      <c r="D25" s="22" t="n">
        <v>1.69</v>
      </c>
      <c r="E25" s="22" t="n">
        <v>0.572</v>
      </c>
      <c r="F25" s="22" t="n">
        <v>1.354</v>
      </c>
    </row>
    <row r="26" customFormat="false" ht="15" hidden="false" customHeight="true" outlineLevel="0" collapsed="false">
      <c r="A26" s="21"/>
      <c r="B26" s="14" t="s">
        <v>27</v>
      </c>
      <c r="C26" s="22" t="n">
        <v>0.887</v>
      </c>
      <c r="D26" s="22" t="n">
        <v>1.06</v>
      </c>
      <c r="E26" s="22" t="n">
        <v>0.03</v>
      </c>
      <c r="F26" s="22" t="n">
        <v>0.799</v>
      </c>
    </row>
    <row r="27" customFormat="false" ht="15" hidden="false" customHeight="true" outlineLevel="0" collapsed="false">
      <c r="A27" s="21"/>
      <c r="B27" s="14" t="s">
        <v>110</v>
      </c>
      <c r="C27" s="22" t="n">
        <v>0.642</v>
      </c>
      <c r="D27" s="22" t="n">
        <v>1.89</v>
      </c>
      <c r="E27" s="22" t="n">
        <v>0.903</v>
      </c>
      <c r="F27" s="22" t="n">
        <v>1.513</v>
      </c>
    </row>
    <row r="28" customFormat="false" ht="15" hidden="false" customHeight="true" outlineLevel="0" collapsed="false">
      <c r="A28" s="21" t="s">
        <v>76</v>
      </c>
      <c r="B28" s="14" t="s">
        <v>91</v>
      </c>
      <c r="C28" s="22" t="n">
        <v>0.431</v>
      </c>
      <c r="D28" s="22" t="n">
        <v>2.357</v>
      </c>
      <c r="E28" s="22" t="n">
        <v>-0.04</v>
      </c>
      <c r="F28" s="22" t="n">
        <v>1.816</v>
      </c>
    </row>
    <row r="29" customFormat="false" ht="15" hidden="false" customHeight="true" outlineLevel="0" collapsed="false">
      <c r="A29" s="21"/>
      <c r="B29" s="14" t="s">
        <v>94</v>
      </c>
      <c r="C29" s="22" t="n">
        <v>0.685</v>
      </c>
      <c r="D29" s="22" t="n">
        <v>1.753</v>
      </c>
      <c r="E29" s="22" t="n">
        <v>0.285</v>
      </c>
      <c r="F29" s="22" t="n">
        <v>1.285</v>
      </c>
    </row>
    <row r="30" customFormat="false" ht="15" hidden="false" customHeight="true" outlineLevel="0" collapsed="false">
      <c r="A30" s="21"/>
      <c r="B30" s="14" t="s">
        <v>97</v>
      </c>
      <c r="C30" s="22" t="n">
        <v>0.544</v>
      </c>
      <c r="D30" s="22" t="n">
        <v>2.097</v>
      </c>
      <c r="E30" s="22" t="n">
        <v>0.227</v>
      </c>
      <c r="F30" s="22" t="n">
        <v>1.595</v>
      </c>
    </row>
    <row r="31" customFormat="false" ht="15" hidden="false" customHeight="true" outlineLevel="0" collapsed="false">
      <c r="A31" s="21"/>
      <c r="B31" s="14" t="s">
        <v>27</v>
      </c>
      <c r="C31" s="22" t="n">
        <v>0.681</v>
      </c>
      <c r="D31" s="22" t="n">
        <v>1.764</v>
      </c>
      <c r="E31" s="22" t="n">
        <v>-0.049</v>
      </c>
      <c r="F31" s="22" t="n">
        <v>1.333</v>
      </c>
    </row>
    <row r="32" customFormat="false" ht="15" hidden="false" customHeight="true" outlineLevel="0" collapsed="false">
      <c r="A32" s="21"/>
      <c r="B32" s="14" t="s">
        <v>110</v>
      </c>
      <c r="C32" s="22" t="n">
        <v>0.052</v>
      </c>
      <c r="D32" s="22" t="n">
        <v>3.041</v>
      </c>
      <c r="E32" s="22" t="n">
        <v>1.425</v>
      </c>
      <c r="F32" s="22" t="n">
        <v>2.273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2026-07-07T16:36:45Z</dcterms:created>
  <dc:creator>openpyxl</dc:creator>
  <dc:description/>
  <dc:language>en-US</dc:language>
  <cp:lastModifiedBy/>
  <dcterms:modified xsi:type="dcterms:W3CDTF">2026-07-07T16:37:15Z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